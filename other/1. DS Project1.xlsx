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afa\Downloads\project1\employee_project_profitability\"/>
    </mc:Choice>
  </mc:AlternateContent>
  <xr:revisionPtr revIDLastSave="0" documentId="13_ncr:1_{459D7C47-1980-4C5F-BA29-149C18BA23FE}" xr6:coauthVersionLast="47" xr6:coauthVersionMax="47" xr10:uidLastSave="{00000000-0000-0000-0000-000000000000}"/>
  <bookViews>
    <workbookView xWindow="19090" yWindow="750" windowWidth="19420" windowHeight="10300" activeTab="2" xr2:uid="{00000000-000D-0000-FFFF-FFFF00000000}"/>
  </bookViews>
  <sheets>
    <sheet name="employees" sheetId="1" r:id="rId1"/>
    <sheet name="projects" sheetId="2" r:id="rId2"/>
    <sheet name="timesheets" sheetId="3" r:id="rId3"/>
    <sheet name="expenses" sheetId="4" r:id="rId4"/>
    <sheet name="README" sheetId="5" r:id="rId5"/>
  </sheets>
  <definedNames>
    <definedName name="_xlnm._FilterDatabase" localSheetId="3" hidden="1">expenses!$A$1:$G$1</definedName>
    <definedName name="_xlnm._FilterDatabase" localSheetId="2" hidden="1">timesheets!$A$1:$H$1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2" i="3"/>
  <c r="E3" i="1"/>
  <c r="E4" i="1"/>
  <c r="E5" i="1"/>
  <c r="E6" i="1"/>
  <c r="E7" i="1"/>
  <c r="E8" i="1"/>
  <c r="E9" i="1"/>
  <c r="E2" i="1"/>
  <c r="D12" i="1"/>
  <c r="D8" i="2"/>
  <c r="G38" i="3"/>
  <c r="F20" i="4"/>
</calcChain>
</file>

<file path=xl/sharedStrings.xml><?xml version="1.0" encoding="utf-8"?>
<sst xmlns="http://schemas.openxmlformats.org/spreadsheetml/2006/main" count="340" uniqueCount="176">
  <si>
    <t>employee_id</t>
  </si>
  <si>
    <t>employee_name</t>
  </si>
  <si>
    <t>department</t>
  </si>
  <si>
    <t>monthly_salary_usd</t>
  </si>
  <si>
    <t>E001</t>
  </si>
  <si>
    <t>Amina Rahman</t>
  </si>
  <si>
    <t>Engineering</t>
  </si>
  <si>
    <t>E002</t>
  </si>
  <si>
    <t>Tanvir Hasan</t>
  </si>
  <si>
    <t>E003</t>
  </si>
  <si>
    <t>Nadia Islam</t>
  </si>
  <si>
    <t>Design</t>
  </si>
  <si>
    <t>E004</t>
  </si>
  <si>
    <t>Rakib Ahmed</t>
  </si>
  <si>
    <t>E005</t>
  </si>
  <si>
    <t>Farhana Akter</t>
  </si>
  <si>
    <t>QA</t>
  </si>
  <si>
    <t>E006</t>
  </si>
  <si>
    <t>Sajid Karim</t>
  </si>
  <si>
    <t>E007</t>
  </si>
  <si>
    <t>Mehedi Chowdhury</t>
  </si>
  <si>
    <t>Project Management</t>
  </si>
  <si>
    <t>E008</t>
  </si>
  <si>
    <t>Jannat Sultana</t>
  </si>
  <si>
    <t>project_id</t>
  </si>
  <si>
    <t>project_name</t>
  </si>
  <si>
    <t>client</t>
  </si>
  <si>
    <t>monthly_revenue_usd</t>
  </si>
  <si>
    <t>project_status</t>
  </si>
  <si>
    <t>P101</t>
  </si>
  <si>
    <t>Northstar Ltd</t>
  </si>
  <si>
    <t>Active</t>
  </si>
  <si>
    <t>P102</t>
  </si>
  <si>
    <t>FinTrack</t>
  </si>
  <si>
    <t>Delta Finance</t>
  </si>
  <si>
    <t>P103</t>
  </si>
  <si>
    <t>ShopEase</t>
  </si>
  <si>
    <t>RetailWorks</t>
  </si>
  <si>
    <t>P104</t>
  </si>
  <si>
    <t>MediCore</t>
  </si>
  <si>
    <t>HealthBridge</t>
  </si>
  <si>
    <t>P105</t>
  </si>
  <si>
    <t>LearnLoop</t>
  </si>
  <si>
    <t>EduSpark</t>
  </si>
  <si>
    <t>timesheet_id</t>
  </si>
  <si>
    <t>work_date</t>
  </si>
  <si>
    <t>hours_worked</t>
  </si>
  <si>
    <t>approval_status</t>
  </si>
  <si>
    <t>TS001</t>
  </si>
  <si>
    <t>2026-07-02</t>
  </si>
  <si>
    <t>Approved</t>
  </si>
  <si>
    <t>TS002</t>
  </si>
  <si>
    <t>2026-07-05</t>
  </si>
  <si>
    <t>TS003</t>
  </si>
  <si>
    <t>2026-07-08</t>
  </si>
  <si>
    <t>TS004</t>
  </si>
  <si>
    <t>2026-07-10</t>
  </si>
  <si>
    <t>TS005</t>
  </si>
  <si>
    <t>2026-07-12</t>
  </si>
  <si>
    <t>TS006</t>
  </si>
  <si>
    <t>2026-07-14</t>
  </si>
  <si>
    <t>TS007</t>
  </si>
  <si>
    <t>2026-07-16</t>
  </si>
  <si>
    <t>TS008</t>
  </si>
  <si>
    <t>2026-07-18</t>
  </si>
  <si>
    <t>TS009</t>
  </si>
  <si>
    <t>2026-07-20</t>
  </si>
  <si>
    <t>TS010</t>
  </si>
  <si>
    <t>2026-07-22</t>
  </si>
  <si>
    <t>TS011</t>
  </si>
  <si>
    <t>2026-08-02</t>
  </si>
  <si>
    <t>TS012</t>
  </si>
  <si>
    <t>2026-08-04</t>
  </si>
  <si>
    <t>TS013</t>
  </si>
  <si>
    <t>2026-08-06</t>
  </si>
  <si>
    <t>TS014</t>
  </si>
  <si>
    <t>2026-08-08</t>
  </si>
  <si>
    <t>TS015</t>
  </si>
  <si>
    <t>2026-08-10</t>
  </si>
  <si>
    <t>TS016</t>
  </si>
  <si>
    <t>2026-08-12</t>
  </si>
  <si>
    <t>TS017</t>
  </si>
  <si>
    <t>2026-08-14</t>
  </si>
  <si>
    <t>TS018</t>
  </si>
  <si>
    <t>2026-08-16</t>
  </si>
  <si>
    <t>TS019</t>
  </si>
  <si>
    <t>2026-08-18</t>
  </si>
  <si>
    <t>TS020</t>
  </si>
  <si>
    <t>2026-08-20</t>
  </si>
  <si>
    <t>TS021</t>
  </si>
  <si>
    <t>2026-09-02</t>
  </si>
  <si>
    <t>TS022</t>
  </si>
  <si>
    <t>2026-09-04</t>
  </si>
  <si>
    <t>TS023</t>
  </si>
  <si>
    <t>2026-09-06</t>
  </si>
  <si>
    <t>TS024</t>
  </si>
  <si>
    <t>2026-09-08</t>
  </si>
  <si>
    <t>TS025</t>
  </si>
  <si>
    <t>2026-09-10</t>
  </si>
  <si>
    <t>TS026</t>
  </si>
  <si>
    <t>2026-09-12</t>
  </si>
  <si>
    <t>TS027</t>
  </si>
  <si>
    <t>2026-09-14</t>
  </si>
  <si>
    <t>TS028</t>
  </si>
  <si>
    <t>2026-09-16</t>
  </si>
  <si>
    <t>TS029</t>
  </si>
  <si>
    <t>2026-09-18</t>
  </si>
  <si>
    <t>TS030</t>
  </si>
  <si>
    <t>2026-09-20</t>
  </si>
  <si>
    <t>TS031</t>
  </si>
  <si>
    <t>2026-09-22</t>
  </si>
  <si>
    <t>P999</t>
  </si>
  <si>
    <t xml:space="preserve">approved </t>
  </si>
  <si>
    <t>TS032</t>
  </si>
  <si>
    <t>2026-09-24</t>
  </si>
  <si>
    <t>TS033</t>
  </si>
  <si>
    <t>TS034</t>
  </si>
  <si>
    <t>2026-09-25</t>
  </si>
  <si>
    <t>E888</t>
  </si>
  <si>
    <t>Pending</t>
  </si>
  <si>
    <t>TS035</t>
  </si>
  <si>
    <t>2026-09-26</t>
  </si>
  <si>
    <t>expense_id</t>
  </si>
  <si>
    <t>expense_date</t>
  </si>
  <si>
    <t>expense_category</t>
  </si>
  <si>
    <t>amount_usd</t>
  </si>
  <si>
    <t>currency</t>
  </si>
  <si>
    <t>EX001</t>
  </si>
  <si>
    <t>2026-07-03</t>
  </si>
  <si>
    <t>Cloud hosting</t>
  </si>
  <si>
    <t>USD</t>
  </si>
  <si>
    <t>EX002</t>
  </si>
  <si>
    <t>Software subscription</t>
  </si>
  <si>
    <t>EX003</t>
  </si>
  <si>
    <t>2026-07-11</t>
  </si>
  <si>
    <t>EX004</t>
  </si>
  <si>
    <t>EX005</t>
  </si>
  <si>
    <t>2026-07-21</t>
  </si>
  <si>
    <t>EX006</t>
  </si>
  <si>
    <t>2026-08-03</t>
  </si>
  <si>
    <t>EX007</t>
  </si>
  <si>
    <t>EX008</t>
  </si>
  <si>
    <t>2026-08-11</t>
  </si>
  <si>
    <t>EX009</t>
  </si>
  <si>
    <t>EX010</t>
  </si>
  <si>
    <t>2026-08-21</t>
  </si>
  <si>
    <t>EX011</t>
  </si>
  <si>
    <t>2026-09-03</t>
  </si>
  <si>
    <t>EX012</t>
  </si>
  <si>
    <t>EX013</t>
  </si>
  <si>
    <t>2026-09-11</t>
  </si>
  <si>
    <t>EX014</t>
  </si>
  <si>
    <t>EX015</t>
  </si>
  <si>
    <t>2026-09-21</t>
  </si>
  <si>
    <t>EX016</t>
  </si>
  <si>
    <t>2026-09-23</t>
  </si>
  <si>
    <t>P777</t>
  </si>
  <si>
    <t>Field</t>
  </si>
  <si>
    <t>Value</t>
  </si>
  <si>
    <t>Project</t>
  </si>
  <si>
    <t>Employee &amp; Project Profitability Analysis</t>
  </si>
  <si>
    <t>Period</t>
  </si>
  <si>
    <t>July–September 2026</t>
  </si>
  <si>
    <t>Currency</t>
  </si>
  <si>
    <t>Important</t>
  </si>
  <si>
    <t>Fictional practice data. Some records intentionally contain data-quality issues.</t>
  </si>
  <si>
    <t>Revenue assumption</t>
  </si>
  <si>
    <t>Project monthly revenue applies in each of the three months; verify this assumption in your report.</t>
  </si>
  <si>
    <t>Labor cost assumption</t>
  </si>
  <si>
    <t>For beginner practice, allocate salary cost using hourly salary = monthly salary / 160; allocate cost by hours logged.</t>
  </si>
  <si>
    <t>Utilization assumption</t>
  </si>
  <si>
    <t>Use 160 available hours per employee per month for this exercise. Note that timesheet hours may be project hours only.</t>
  </si>
  <si>
    <t>Per hour</t>
  </si>
  <si>
    <t>Employee</t>
  </si>
  <si>
    <t>project</t>
  </si>
  <si>
    <t>Briclab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</si>
</sst>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0" fontId="1" fillId="0" borderId="2" xfId="0" applyFont="1" applyFill="1" applyBorder="1" applyAlignment="1">
      <alignment horizontal="center" vertical="top"/>
    </xf>
    <xf numFmtId="43" fontId="0" fillId="0" borderId="0" xfId="0" applyNumberFormat="1"/>
    <xf numFmtId="0" fontId="3" fillId="0" borderId="0" xfId="0" applyFont="1"/>
    <xf numFmtId="0" fontId="3" fillId="2" borderId="0" xfId="0" applyFont="1" applyFill="1"/>
    <xf numFmtId="0" fontId="4" fillId="0" borderId="1" xfId="0" applyFont="1" applyBorder="1" applyAlignment="1">
      <alignment horizontal="center" vertical="top"/>
    </xf>
    <xf numFmtId="43" fontId="3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E12"/>
  <sheetViews>
    <sheetView workbookViewId="0">
      <selection activeCell="C19" sqref="C19"/>
    </sheetView>
  </sheetViews>
  <sheetFormatPr defaultRowHeight="15" x14ac:dyDescent="0.25"/>
  <cols>
    <col min="1" max="1" width="12.7109375" bestFit="1" customWidth="1"/>
    <col min="2" max="2" width="18.7109375" bestFit="1" customWidth="1"/>
    <col min="3" max="3" width="19.7109375" bestFit="1" customWidth="1"/>
    <col min="4" max="4" width="19" style="3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4" t="s">
        <v>172</v>
      </c>
    </row>
    <row r="2" spans="1:5" x14ac:dyDescent="0.25">
      <c r="A2" t="s">
        <v>4</v>
      </c>
      <c r="B2" t="s">
        <v>5</v>
      </c>
      <c r="C2" t="s">
        <v>6</v>
      </c>
      <c r="D2" s="3">
        <v>1800</v>
      </c>
      <c r="E2" s="5">
        <f>D2/160</f>
        <v>11.25</v>
      </c>
    </row>
    <row r="3" spans="1:5" x14ac:dyDescent="0.25">
      <c r="A3" t="s">
        <v>7</v>
      </c>
      <c r="B3" t="s">
        <v>8</v>
      </c>
      <c r="C3" t="s">
        <v>6</v>
      </c>
      <c r="D3" s="3">
        <v>1500</v>
      </c>
      <c r="E3" s="5">
        <f t="shared" ref="E3:E9" si="0">D3/160</f>
        <v>9.375</v>
      </c>
    </row>
    <row r="4" spans="1:5" x14ac:dyDescent="0.25">
      <c r="A4" t="s">
        <v>9</v>
      </c>
      <c r="B4" t="s">
        <v>10</v>
      </c>
      <c r="C4" t="s">
        <v>11</v>
      </c>
      <c r="D4" s="3">
        <v>1300</v>
      </c>
      <c r="E4" s="5">
        <f t="shared" si="0"/>
        <v>8.125</v>
      </c>
    </row>
    <row r="5" spans="1:5" x14ac:dyDescent="0.25">
      <c r="A5" t="s">
        <v>12</v>
      </c>
      <c r="B5" t="s">
        <v>13</v>
      </c>
      <c r="C5" t="s">
        <v>6</v>
      </c>
      <c r="D5" s="3">
        <v>1600</v>
      </c>
      <c r="E5" s="5">
        <f t="shared" si="0"/>
        <v>10</v>
      </c>
    </row>
    <row r="6" spans="1:5" x14ac:dyDescent="0.25">
      <c r="A6" t="s">
        <v>14</v>
      </c>
      <c r="B6" t="s">
        <v>15</v>
      </c>
      <c r="C6" t="s">
        <v>16</v>
      </c>
      <c r="D6" s="3">
        <v>1200</v>
      </c>
      <c r="E6" s="5">
        <f t="shared" si="0"/>
        <v>7.5</v>
      </c>
    </row>
    <row r="7" spans="1:5" x14ac:dyDescent="0.25">
      <c r="A7" t="s">
        <v>17</v>
      </c>
      <c r="B7" t="s">
        <v>18</v>
      </c>
      <c r="C7" t="s">
        <v>6</v>
      </c>
      <c r="D7" s="3">
        <v>1700</v>
      </c>
      <c r="E7" s="5">
        <f t="shared" si="0"/>
        <v>10.625</v>
      </c>
    </row>
    <row r="8" spans="1:5" x14ac:dyDescent="0.25">
      <c r="A8" t="s">
        <v>19</v>
      </c>
      <c r="B8" t="s">
        <v>20</v>
      </c>
      <c r="C8" t="s">
        <v>21</v>
      </c>
      <c r="D8" s="3">
        <v>1900</v>
      </c>
      <c r="E8" s="5">
        <f t="shared" si="0"/>
        <v>11.875</v>
      </c>
    </row>
    <row r="9" spans="1:5" x14ac:dyDescent="0.25">
      <c r="A9" t="s">
        <v>22</v>
      </c>
      <c r="B9" t="s">
        <v>23</v>
      </c>
      <c r="C9" t="s">
        <v>16</v>
      </c>
      <c r="D9" s="3">
        <v>1250</v>
      </c>
      <c r="E9" s="5">
        <f t="shared" si="0"/>
        <v>7.8125</v>
      </c>
    </row>
    <row r="12" spans="1:5" x14ac:dyDescent="0.25">
      <c r="D12" s="3">
        <f>SUM(D2:D11)</f>
        <v>12250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E8"/>
  <sheetViews>
    <sheetView workbookViewId="0">
      <selection activeCell="F12" sqref="F12"/>
    </sheetView>
  </sheetViews>
  <sheetFormatPr defaultRowHeight="15" x14ac:dyDescent="0.25"/>
  <cols>
    <col min="1" max="1" width="10" bestFit="1" customWidth="1"/>
    <col min="2" max="2" width="13.42578125" bestFit="1" customWidth="1"/>
    <col min="3" max="3" width="13.140625" bestFit="1" customWidth="1"/>
    <col min="4" max="4" width="21.42578125" style="3" bestFit="1" customWidth="1"/>
    <col min="5" max="5" width="13.7109375" bestFit="1" customWidth="1"/>
  </cols>
  <sheetData>
    <row r="1" spans="1:5" x14ac:dyDescent="0.25">
      <c r="A1" s="1" t="s">
        <v>24</v>
      </c>
      <c r="B1" s="1" t="s">
        <v>25</v>
      </c>
      <c r="C1" s="1" t="s">
        <v>26</v>
      </c>
      <c r="D1" s="2" t="s">
        <v>27</v>
      </c>
      <c r="E1" s="1" t="s">
        <v>28</v>
      </c>
    </row>
    <row r="2" spans="1:5" x14ac:dyDescent="0.25">
      <c r="A2" t="s">
        <v>29</v>
      </c>
      <c r="B2" t="s">
        <v>175</v>
      </c>
      <c r="C2" t="s">
        <v>30</v>
      </c>
      <c r="D2" s="3">
        <v>12000</v>
      </c>
      <c r="E2" t="s">
        <v>31</v>
      </c>
    </row>
    <row r="3" spans="1:5" x14ac:dyDescent="0.25">
      <c r="A3" t="s">
        <v>32</v>
      </c>
      <c r="B3" t="s">
        <v>33</v>
      </c>
      <c r="C3" t="s">
        <v>34</v>
      </c>
      <c r="D3" s="3">
        <v>9500</v>
      </c>
      <c r="E3" t="s">
        <v>31</v>
      </c>
    </row>
    <row r="4" spans="1:5" x14ac:dyDescent="0.25">
      <c r="A4" t="s">
        <v>35</v>
      </c>
      <c r="B4" t="s">
        <v>36</v>
      </c>
      <c r="C4" t="s">
        <v>37</v>
      </c>
      <c r="D4" s="3">
        <v>8000</v>
      </c>
      <c r="E4" t="s">
        <v>31</v>
      </c>
    </row>
    <row r="5" spans="1:5" x14ac:dyDescent="0.25">
      <c r="A5" t="s">
        <v>38</v>
      </c>
      <c r="B5" t="s">
        <v>39</v>
      </c>
      <c r="C5" t="s">
        <v>40</v>
      </c>
      <c r="D5" s="3">
        <v>11000</v>
      </c>
      <c r="E5" t="s">
        <v>31</v>
      </c>
    </row>
    <row r="6" spans="1:5" x14ac:dyDescent="0.25">
      <c r="A6" t="s">
        <v>41</v>
      </c>
      <c r="B6" t="s">
        <v>42</v>
      </c>
      <c r="C6" t="s">
        <v>43</v>
      </c>
      <c r="D6" s="3">
        <v>7000</v>
      </c>
      <c r="E6" t="s">
        <v>31</v>
      </c>
    </row>
    <row r="8" spans="1:5" x14ac:dyDescent="0.25">
      <c r="D8" s="3">
        <f>SUM(D2:D7)</f>
        <v>47500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tabSelected="1" workbookViewId="0">
      <selection sqref="A1:XFD1048576"/>
    </sheetView>
  </sheetViews>
  <sheetFormatPr defaultRowHeight="15" x14ac:dyDescent="0.25"/>
  <cols>
    <col min="1" max="1" width="17.42578125" bestFit="1" customWidth="1"/>
    <col min="2" max="2" width="15" bestFit="1" customWidth="1"/>
    <col min="3" max="3" width="17.28515625" bestFit="1" customWidth="1"/>
    <col min="4" max="4" width="17.28515625" customWidth="1"/>
    <col min="5" max="5" width="14.5703125" bestFit="1" customWidth="1"/>
    <col min="6" max="6" width="14.5703125" customWidth="1"/>
    <col min="7" max="7" width="18.42578125" bestFit="1" customWidth="1"/>
    <col min="8" max="8" width="19.7109375" bestFit="1" customWidth="1"/>
  </cols>
  <sheetData>
    <row r="1" spans="1:8" x14ac:dyDescent="0.25">
      <c r="A1" s="1" t="s">
        <v>44</v>
      </c>
      <c r="B1" s="1" t="s">
        <v>45</v>
      </c>
      <c r="C1" s="1" t="s">
        <v>0</v>
      </c>
      <c r="D1" s="1" t="s">
        <v>173</v>
      </c>
      <c r="E1" s="1" t="s">
        <v>24</v>
      </c>
      <c r="F1" s="1" t="s">
        <v>174</v>
      </c>
      <c r="G1" s="1" t="s">
        <v>46</v>
      </c>
      <c r="H1" s="1" t="s">
        <v>47</v>
      </c>
    </row>
    <row r="2" spans="1:8" x14ac:dyDescent="0.25">
      <c r="A2" t="s">
        <v>48</v>
      </c>
      <c r="B2" t="s">
        <v>49</v>
      </c>
      <c r="C2" t="s">
        <v>4</v>
      </c>
      <c r="D2" t="str">
        <f>_xlfn.XLOOKUP(C2,employees!$A$2:$A$9,employees!$B$2:$B$9)</f>
        <v>Amina Rahman</v>
      </c>
      <c r="E2" t="s">
        <v>29</v>
      </c>
      <c r="F2" t="str">
        <f>_xlfn.XLOOKUP(E2,projects!$A$2:$A$6,projects!$B$2:$B$6)</f>
        <v>Briclab</v>
      </c>
      <c r="G2">
        <v>120</v>
      </c>
      <c r="H2" t="s">
        <v>50</v>
      </c>
    </row>
    <row r="3" spans="1:8" x14ac:dyDescent="0.25">
      <c r="A3" t="s">
        <v>51</v>
      </c>
      <c r="B3" t="s">
        <v>52</v>
      </c>
      <c r="C3" t="s">
        <v>7</v>
      </c>
      <c r="D3" t="str">
        <f>_xlfn.XLOOKUP(C3,employees!$A$2:$A$9,employees!$B$2:$B$9)</f>
        <v>Tanvir Hasan</v>
      </c>
      <c r="E3" t="s">
        <v>29</v>
      </c>
      <c r="F3" t="str">
        <f>_xlfn.XLOOKUP(E3,projects!$A$2:$A$6,projects!$B$2:$B$6)</f>
        <v>Briclab</v>
      </c>
      <c r="G3">
        <v>100</v>
      </c>
      <c r="H3" t="s">
        <v>50</v>
      </c>
    </row>
    <row r="4" spans="1:8" x14ac:dyDescent="0.25">
      <c r="A4" t="s">
        <v>69</v>
      </c>
      <c r="B4" t="s">
        <v>70</v>
      </c>
      <c r="C4" t="s">
        <v>4</v>
      </c>
      <c r="D4" t="str">
        <f>_xlfn.XLOOKUP(C4,employees!$A$2:$A$9,employees!$B$2:$B$9)</f>
        <v>Amina Rahman</v>
      </c>
      <c r="E4" t="s">
        <v>29</v>
      </c>
      <c r="F4" t="str">
        <f>_xlfn.XLOOKUP(E4,projects!$A$2:$A$6,projects!$B$2:$B$6)</f>
        <v>Briclab</v>
      </c>
      <c r="G4">
        <v>125</v>
      </c>
      <c r="H4" t="s">
        <v>50</v>
      </c>
    </row>
    <row r="5" spans="1:8" x14ac:dyDescent="0.25">
      <c r="A5" t="s">
        <v>71</v>
      </c>
      <c r="B5" t="s">
        <v>72</v>
      </c>
      <c r="C5" t="s">
        <v>7</v>
      </c>
      <c r="D5" t="str">
        <f>_xlfn.XLOOKUP(C5,employees!$A$2:$A$9,employees!$B$2:$B$9)</f>
        <v>Tanvir Hasan</v>
      </c>
      <c r="E5" t="s">
        <v>29</v>
      </c>
      <c r="F5" t="str">
        <f>_xlfn.XLOOKUP(E5,projects!$A$2:$A$6,projects!$B$2:$B$6)</f>
        <v>Briclab</v>
      </c>
      <c r="G5">
        <v>105</v>
      </c>
      <c r="H5" t="s">
        <v>50</v>
      </c>
    </row>
    <row r="6" spans="1:8" x14ac:dyDescent="0.25">
      <c r="A6" t="s">
        <v>89</v>
      </c>
      <c r="B6" t="s">
        <v>90</v>
      </c>
      <c r="C6" t="s">
        <v>4</v>
      </c>
      <c r="D6" t="str">
        <f>_xlfn.XLOOKUP(C6,employees!$A$2:$A$9,employees!$B$2:$B$9)</f>
        <v>Amina Rahman</v>
      </c>
      <c r="E6" t="s">
        <v>29</v>
      </c>
      <c r="F6" t="str">
        <f>_xlfn.XLOOKUP(E6,projects!$A$2:$A$6,projects!$B$2:$B$6)</f>
        <v>Briclab</v>
      </c>
      <c r="G6">
        <v>130</v>
      </c>
      <c r="H6" t="s">
        <v>50</v>
      </c>
    </row>
    <row r="7" spans="1:8" x14ac:dyDescent="0.25">
      <c r="A7" t="s">
        <v>91</v>
      </c>
      <c r="B7" t="s">
        <v>92</v>
      </c>
      <c r="C7" t="s">
        <v>7</v>
      </c>
      <c r="D7" t="str">
        <f>_xlfn.XLOOKUP(C7,employees!$A$2:$A$9,employees!$B$2:$B$9)</f>
        <v>Tanvir Hasan</v>
      </c>
      <c r="E7" t="s">
        <v>29</v>
      </c>
      <c r="F7" t="str">
        <f>_xlfn.XLOOKUP(E7,projects!$A$2:$A$6,projects!$B$2:$B$6)</f>
        <v>Briclab</v>
      </c>
      <c r="G7">
        <v>110</v>
      </c>
      <c r="H7" t="s">
        <v>50</v>
      </c>
    </row>
    <row r="8" spans="1:8" x14ac:dyDescent="0.25">
      <c r="A8" t="s">
        <v>53</v>
      </c>
      <c r="B8" t="s">
        <v>54</v>
      </c>
      <c r="C8" t="s">
        <v>9</v>
      </c>
      <c r="D8" t="str">
        <f>_xlfn.XLOOKUP(C8,employees!$A$2:$A$9,employees!$B$2:$B$9)</f>
        <v>Nadia Islam</v>
      </c>
      <c r="E8" t="s">
        <v>32</v>
      </c>
      <c r="F8" t="str">
        <f>_xlfn.XLOOKUP(E8,projects!$A$2:$A$6,projects!$B$2:$B$6)</f>
        <v>FinTrack</v>
      </c>
      <c r="G8">
        <v>90</v>
      </c>
      <c r="H8" t="s">
        <v>50</v>
      </c>
    </row>
    <row r="9" spans="1:8" x14ac:dyDescent="0.25">
      <c r="A9" t="s">
        <v>55</v>
      </c>
      <c r="B9" t="s">
        <v>56</v>
      </c>
      <c r="C9" t="s">
        <v>12</v>
      </c>
      <c r="D9" t="str">
        <f>_xlfn.XLOOKUP(C9,employees!$A$2:$A$9,employees!$B$2:$B$9)</f>
        <v>Rakib Ahmed</v>
      </c>
      <c r="E9" t="s">
        <v>32</v>
      </c>
      <c r="F9" t="str">
        <f>_xlfn.XLOOKUP(E9,projects!$A$2:$A$6,projects!$B$2:$B$6)</f>
        <v>FinTrack</v>
      </c>
      <c r="G9">
        <v>110</v>
      </c>
      <c r="H9" t="s">
        <v>50</v>
      </c>
    </row>
    <row r="10" spans="1:8" x14ac:dyDescent="0.25">
      <c r="A10" t="s">
        <v>73</v>
      </c>
      <c r="B10" t="s">
        <v>74</v>
      </c>
      <c r="C10" t="s">
        <v>9</v>
      </c>
      <c r="D10" t="str">
        <f>_xlfn.XLOOKUP(C10,employees!$A$2:$A$9,employees!$B$2:$B$9)</f>
        <v>Nadia Islam</v>
      </c>
      <c r="E10" t="s">
        <v>32</v>
      </c>
      <c r="F10" t="str">
        <f>_xlfn.XLOOKUP(E10,projects!$A$2:$A$6,projects!$B$2:$B$6)</f>
        <v>FinTrack</v>
      </c>
      <c r="G10">
        <v>95</v>
      </c>
      <c r="H10" t="s">
        <v>50</v>
      </c>
    </row>
    <row r="11" spans="1:8" x14ac:dyDescent="0.25">
      <c r="A11" t="s">
        <v>75</v>
      </c>
      <c r="B11" t="s">
        <v>76</v>
      </c>
      <c r="C11" t="s">
        <v>12</v>
      </c>
      <c r="D11" t="str">
        <f>_xlfn.XLOOKUP(C11,employees!$A$2:$A$9,employees!$B$2:$B$9)</f>
        <v>Rakib Ahmed</v>
      </c>
      <c r="E11" t="s">
        <v>32</v>
      </c>
      <c r="F11" t="str">
        <f>_xlfn.XLOOKUP(E11,projects!$A$2:$A$6,projects!$B$2:$B$6)</f>
        <v>FinTrack</v>
      </c>
      <c r="G11">
        <v>115</v>
      </c>
      <c r="H11" t="s">
        <v>50</v>
      </c>
    </row>
    <row r="12" spans="1:8" x14ac:dyDescent="0.25">
      <c r="A12" t="s">
        <v>93</v>
      </c>
      <c r="B12" t="s">
        <v>94</v>
      </c>
      <c r="C12" t="s">
        <v>9</v>
      </c>
      <c r="D12" t="str">
        <f>_xlfn.XLOOKUP(C12,employees!$A$2:$A$9,employees!$B$2:$B$9)</f>
        <v>Nadia Islam</v>
      </c>
      <c r="E12" t="s">
        <v>32</v>
      </c>
      <c r="F12" t="str">
        <f>_xlfn.XLOOKUP(E12,projects!$A$2:$A$6,projects!$B$2:$B$6)</f>
        <v>FinTrack</v>
      </c>
      <c r="G12">
        <v>100</v>
      </c>
      <c r="H12" t="s">
        <v>50</v>
      </c>
    </row>
    <row r="13" spans="1:8" x14ac:dyDescent="0.25">
      <c r="A13" t="s">
        <v>95</v>
      </c>
      <c r="B13" t="s">
        <v>96</v>
      </c>
      <c r="C13" t="s">
        <v>12</v>
      </c>
      <c r="D13" t="str">
        <f>_xlfn.XLOOKUP(C13,employees!$A$2:$A$9,employees!$B$2:$B$9)</f>
        <v>Rakib Ahmed</v>
      </c>
      <c r="E13" t="s">
        <v>32</v>
      </c>
      <c r="F13" t="str">
        <f>_xlfn.XLOOKUP(E13,projects!$A$2:$A$6,projects!$B$2:$B$6)</f>
        <v>FinTrack</v>
      </c>
      <c r="G13">
        <v>120</v>
      </c>
      <c r="H13" t="s">
        <v>50</v>
      </c>
    </row>
    <row r="14" spans="1:8" x14ac:dyDescent="0.25">
      <c r="A14" t="s">
        <v>113</v>
      </c>
      <c r="B14" t="s">
        <v>114</v>
      </c>
      <c r="C14" t="s">
        <v>12</v>
      </c>
      <c r="D14" t="str">
        <f>_xlfn.XLOOKUP(C14,employees!$A$2:$A$9,employees!$B$2:$B$9)</f>
        <v>Rakib Ahmed</v>
      </c>
      <c r="E14" t="s">
        <v>32</v>
      </c>
      <c r="F14" t="str">
        <f>_xlfn.XLOOKUP(E14,projects!$A$2:$A$6,projects!$B$2:$B$6)</f>
        <v>FinTrack</v>
      </c>
      <c r="G14">
        <v>-5</v>
      </c>
      <c r="H14" t="s">
        <v>50</v>
      </c>
    </row>
    <row r="15" spans="1:8" x14ac:dyDescent="0.25">
      <c r="A15" t="s">
        <v>115</v>
      </c>
      <c r="B15" t="s">
        <v>114</v>
      </c>
      <c r="C15" t="s">
        <v>12</v>
      </c>
      <c r="D15" t="str">
        <f>_xlfn.XLOOKUP(C15,employees!$A$2:$A$9,employees!$B$2:$B$9)</f>
        <v>Rakib Ahmed</v>
      </c>
      <c r="E15" t="s">
        <v>32</v>
      </c>
      <c r="F15" t="str">
        <f>_xlfn.XLOOKUP(E15,projects!$A$2:$A$6,projects!$B$2:$B$6)</f>
        <v>FinTrack</v>
      </c>
      <c r="G15">
        <v>-5</v>
      </c>
      <c r="H15" t="s">
        <v>50</v>
      </c>
    </row>
    <row r="16" spans="1:8" x14ac:dyDescent="0.25">
      <c r="A16" t="s">
        <v>57</v>
      </c>
      <c r="B16" t="s">
        <v>58</v>
      </c>
      <c r="C16" t="s">
        <v>14</v>
      </c>
      <c r="D16" t="str">
        <f>_xlfn.XLOOKUP(C16,employees!$A$2:$A$9,employees!$B$2:$B$9)</f>
        <v>Farhana Akter</v>
      </c>
      <c r="E16" t="s">
        <v>35</v>
      </c>
      <c r="F16" t="str">
        <f>_xlfn.XLOOKUP(E16,projects!$A$2:$A$6,projects!$B$2:$B$6)</f>
        <v>ShopEase</v>
      </c>
      <c r="G16">
        <v>100</v>
      </c>
      <c r="H16" t="s">
        <v>50</v>
      </c>
    </row>
    <row r="17" spans="1:8" x14ac:dyDescent="0.25">
      <c r="A17" t="s">
        <v>59</v>
      </c>
      <c r="B17" t="s">
        <v>60</v>
      </c>
      <c r="C17" t="s">
        <v>17</v>
      </c>
      <c r="D17" t="str">
        <f>_xlfn.XLOOKUP(C17,employees!$A$2:$A$9,employees!$B$2:$B$9)</f>
        <v>Sajid Karim</v>
      </c>
      <c r="E17" t="s">
        <v>35</v>
      </c>
      <c r="F17" t="str">
        <f>_xlfn.XLOOKUP(E17,projects!$A$2:$A$6,projects!$B$2:$B$6)</f>
        <v>ShopEase</v>
      </c>
      <c r="G17">
        <v>130</v>
      </c>
      <c r="H17" t="s">
        <v>50</v>
      </c>
    </row>
    <row r="18" spans="1:8" x14ac:dyDescent="0.25">
      <c r="A18" t="s">
        <v>77</v>
      </c>
      <c r="B18" t="s">
        <v>78</v>
      </c>
      <c r="C18" t="s">
        <v>14</v>
      </c>
      <c r="D18" t="str">
        <f>_xlfn.XLOOKUP(C18,employees!$A$2:$A$9,employees!$B$2:$B$9)</f>
        <v>Farhana Akter</v>
      </c>
      <c r="E18" t="s">
        <v>35</v>
      </c>
      <c r="F18" t="str">
        <f>_xlfn.XLOOKUP(E18,projects!$A$2:$A$6,projects!$B$2:$B$6)</f>
        <v>ShopEase</v>
      </c>
      <c r="G18">
        <v>105</v>
      </c>
      <c r="H18" t="s">
        <v>50</v>
      </c>
    </row>
    <row r="19" spans="1:8" x14ac:dyDescent="0.25">
      <c r="A19" t="s">
        <v>79</v>
      </c>
      <c r="B19" t="s">
        <v>80</v>
      </c>
      <c r="C19" t="s">
        <v>17</v>
      </c>
      <c r="D19" t="str">
        <f>_xlfn.XLOOKUP(C19,employees!$A$2:$A$9,employees!$B$2:$B$9)</f>
        <v>Sajid Karim</v>
      </c>
      <c r="E19" t="s">
        <v>35</v>
      </c>
      <c r="F19" t="str">
        <f>_xlfn.XLOOKUP(E19,projects!$A$2:$A$6,projects!$B$2:$B$6)</f>
        <v>ShopEase</v>
      </c>
      <c r="G19">
        <v>135</v>
      </c>
      <c r="H19" t="s">
        <v>50</v>
      </c>
    </row>
    <row r="20" spans="1:8" x14ac:dyDescent="0.25">
      <c r="A20" t="s">
        <v>97</v>
      </c>
      <c r="B20" t="s">
        <v>98</v>
      </c>
      <c r="C20" t="s">
        <v>14</v>
      </c>
      <c r="D20" t="str">
        <f>_xlfn.XLOOKUP(C20,employees!$A$2:$A$9,employees!$B$2:$B$9)</f>
        <v>Farhana Akter</v>
      </c>
      <c r="E20" t="s">
        <v>35</v>
      </c>
      <c r="F20" t="str">
        <f>_xlfn.XLOOKUP(E20,projects!$A$2:$A$6,projects!$B$2:$B$6)</f>
        <v>ShopEase</v>
      </c>
      <c r="G20">
        <v>110</v>
      </c>
      <c r="H20" t="s">
        <v>50</v>
      </c>
    </row>
    <row r="21" spans="1:8" x14ac:dyDescent="0.25">
      <c r="A21" t="s">
        <v>99</v>
      </c>
      <c r="B21" t="s">
        <v>100</v>
      </c>
      <c r="C21" t="s">
        <v>17</v>
      </c>
      <c r="D21" t="str">
        <f>_xlfn.XLOOKUP(C21,employees!$A$2:$A$9,employees!$B$2:$B$9)</f>
        <v>Sajid Karim</v>
      </c>
      <c r="E21" t="s">
        <v>35</v>
      </c>
      <c r="F21" t="str">
        <f>_xlfn.XLOOKUP(E21,projects!$A$2:$A$6,projects!$B$2:$B$6)</f>
        <v>ShopEase</v>
      </c>
      <c r="G21">
        <v>140</v>
      </c>
      <c r="H21" t="s">
        <v>50</v>
      </c>
    </row>
    <row r="22" spans="1:8" x14ac:dyDescent="0.25">
      <c r="A22" s="6" t="s">
        <v>116</v>
      </c>
      <c r="B22" s="6" t="s">
        <v>117</v>
      </c>
      <c r="C22" s="6" t="s">
        <v>118</v>
      </c>
      <c r="D22" s="7" t="e">
        <f>_xlfn.XLOOKUP(C22,employees!$A$2:$A$9,employees!$B$2:$B$9)</f>
        <v>#N/A</v>
      </c>
      <c r="E22" s="6" t="s">
        <v>35</v>
      </c>
      <c r="F22" t="str">
        <f>_xlfn.XLOOKUP(E22,projects!$A$2:$A$6,projects!$B$2:$B$6)</f>
        <v>ShopEase</v>
      </c>
      <c r="G22" s="6">
        <v>8</v>
      </c>
      <c r="H22" s="6" t="s">
        <v>119</v>
      </c>
    </row>
    <row r="23" spans="1:8" x14ac:dyDescent="0.25">
      <c r="A23" t="s">
        <v>120</v>
      </c>
      <c r="B23" t="s">
        <v>121</v>
      </c>
      <c r="C23" t="s">
        <v>14</v>
      </c>
      <c r="D23" t="str">
        <f>_xlfn.XLOOKUP(C23,employees!$A$2:$A$9,employees!$B$2:$B$9)</f>
        <v>Farhana Akter</v>
      </c>
      <c r="E23" t="s">
        <v>35</v>
      </c>
      <c r="F23" t="str">
        <f>_xlfn.XLOOKUP(E23,projects!$A$2:$A$6,projects!$B$2:$B$6)</f>
        <v>ShopEase</v>
      </c>
      <c r="H23" t="s">
        <v>50</v>
      </c>
    </row>
    <row r="24" spans="1:8" x14ac:dyDescent="0.25">
      <c r="A24" t="s">
        <v>61</v>
      </c>
      <c r="B24" t="s">
        <v>62</v>
      </c>
      <c r="C24" t="s">
        <v>19</v>
      </c>
      <c r="D24" t="str">
        <f>_xlfn.XLOOKUP(C24,employees!$A$2:$A$9,employees!$B$2:$B$9)</f>
        <v>Mehedi Chowdhury</v>
      </c>
      <c r="E24" t="s">
        <v>38</v>
      </c>
      <c r="F24" t="str">
        <f>_xlfn.XLOOKUP(E24,projects!$A$2:$A$6,projects!$B$2:$B$6)</f>
        <v>MediCore</v>
      </c>
      <c r="G24">
        <v>100</v>
      </c>
      <c r="H24" t="s">
        <v>50</v>
      </c>
    </row>
    <row r="25" spans="1:8" x14ac:dyDescent="0.25">
      <c r="A25" t="s">
        <v>63</v>
      </c>
      <c r="B25" t="s">
        <v>64</v>
      </c>
      <c r="C25" t="s">
        <v>22</v>
      </c>
      <c r="D25" t="str">
        <f>_xlfn.XLOOKUP(C25,employees!$A$2:$A$9,employees!$B$2:$B$9)</f>
        <v>Jannat Sultana</v>
      </c>
      <c r="E25" t="s">
        <v>38</v>
      </c>
      <c r="F25" t="str">
        <f>_xlfn.XLOOKUP(E25,projects!$A$2:$A$6,projects!$B$2:$B$6)</f>
        <v>MediCore</v>
      </c>
      <c r="G25">
        <v>90</v>
      </c>
      <c r="H25" t="s">
        <v>50</v>
      </c>
    </row>
    <row r="26" spans="1:8" x14ac:dyDescent="0.25">
      <c r="A26" t="s">
        <v>81</v>
      </c>
      <c r="B26" t="s">
        <v>82</v>
      </c>
      <c r="C26" t="s">
        <v>19</v>
      </c>
      <c r="D26" t="str">
        <f>_xlfn.XLOOKUP(C26,employees!$A$2:$A$9,employees!$B$2:$B$9)</f>
        <v>Mehedi Chowdhury</v>
      </c>
      <c r="E26" t="s">
        <v>38</v>
      </c>
      <c r="F26" t="str">
        <f>_xlfn.XLOOKUP(E26,projects!$A$2:$A$6,projects!$B$2:$B$6)</f>
        <v>MediCore</v>
      </c>
      <c r="G26">
        <v>105</v>
      </c>
      <c r="H26" t="s">
        <v>50</v>
      </c>
    </row>
    <row r="27" spans="1:8" x14ac:dyDescent="0.25">
      <c r="A27" t="s">
        <v>83</v>
      </c>
      <c r="B27" t="s">
        <v>84</v>
      </c>
      <c r="C27" t="s">
        <v>22</v>
      </c>
      <c r="D27" t="str">
        <f>_xlfn.XLOOKUP(C27,employees!$A$2:$A$9,employees!$B$2:$B$9)</f>
        <v>Jannat Sultana</v>
      </c>
      <c r="E27" t="s">
        <v>38</v>
      </c>
      <c r="F27" t="str">
        <f>_xlfn.XLOOKUP(E27,projects!$A$2:$A$6,projects!$B$2:$B$6)</f>
        <v>MediCore</v>
      </c>
      <c r="G27">
        <v>95</v>
      </c>
      <c r="H27" t="s">
        <v>50</v>
      </c>
    </row>
    <row r="28" spans="1:8" x14ac:dyDescent="0.25">
      <c r="A28" t="s">
        <v>101</v>
      </c>
      <c r="B28" t="s">
        <v>102</v>
      </c>
      <c r="C28" t="s">
        <v>19</v>
      </c>
      <c r="D28" t="str">
        <f>_xlfn.XLOOKUP(C28,employees!$A$2:$A$9,employees!$B$2:$B$9)</f>
        <v>Mehedi Chowdhury</v>
      </c>
      <c r="E28" t="s">
        <v>38</v>
      </c>
      <c r="F28" t="str">
        <f>_xlfn.XLOOKUP(E28,projects!$A$2:$A$6,projects!$B$2:$B$6)</f>
        <v>MediCore</v>
      </c>
      <c r="G28">
        <v>110</v>
      </c>
      <c r="H28" t="s">
        <v>50</v>
      </c>
    </row>
    <row r="29" spans="1:8" x14ac:dyDescent="0.25">
      <c r="A29" t="s">
        <v>103</v>
      </c>
      <c r="B29" t="s">
        <v>104</v>
      </c>
      <c r="C29" t="s">
        <v>22</v>
      </c>
      <c r="D29" t="str">
        <f>_xlfn.XLOOKUP(C29,employees!$A$2:$A$9,employees!$B$2:$B$9)</f>
        <v>Jannat Sultana</v>
      </c>
      <c r="E29" t="s">
        <v>38</v>
      </c>
      <c r="F29" t="str">
        <f>_xlfn.XLOOKUP(E29,projects!$A$2:$A$6,projects!$B$2:$B$6)</f>
        <v>MediCore</v>
      </c>
      <c r="G29">
        <v>100</v>
      </c>
      <c r="H29" t="s">
        <v>50</v>
      </c>
    </row>
    <row r="30" spans="1:8" x14ac:dyDescent="0.25">
      <c r="A30" t="s">
        <v>65</v>
      </c>
      <c r="B30" t="s">
        <v>66</v>
      </c>
      <c r="C30" t="s">
        <v>4</v>
      </c>
      <c r="D30" t="str">
        <f>_xlfn.XLOOKUP(C30,employees!$A$2:$A$9,employees!$B$2:$B$9)</f>
        <v>Amina Rahman</v>
      </c>
      <c r="E30" t="s">
        <v>41</v>
      </c>
      <c r="F30" t="str">
        <f>_xlfn.XLOOKUP(E30,projects!$A$2:$A$6,projects!$B$2:$B$6)</f>
        <v>LearnLoop</v>
      </c>
      <c r="G30">
        <v>80</v>
      </c>
      <c r="H30" t="s">
        <v>50</v>
      </c>
    </row>
    <row r="31" spans="1:8" x14ac:dyDescent="0.25">
      <c r="A31" t="s">
        <v>67</v>
      </c>
      <c r="B31" t="s">
        <v>68</v>
      </c>
      <c r="C31" t="s">
        <v>7</v>
      </c>
      <c r="D31" t="str">
        <f>_xlfn.XLOOKUP(C31,employees!$A$2:$A$9,employees!$B$2:$B$9)</f>
        <v>Tanvir Hasan</v>
      </c>
      <c r="E31" t="s">
        <v>41</v>
      </c>
      <c r="F31" t="str">
        <f>_xlfn.XLOOKUP(E31,projects!$A$2:$A$6,projects!$B$2:$B$6)</f>
        <v>LearnLoop</v>
      </c>
      <c r="G31">
        <v>90</v>
      </c>
      <c r="H31" t="s">
        <v>50</v>
      </c>
    </row>
    <row r="32" spans="1:8" x14ac:dyDescent="0.25">
      <c r="A32" t="s">
        <v>85</v>
      </c>
      <c r="B32" t="s">
        <v>86</v>
      </c>
      <c r="C32" t="s">
        <v>4</v>
      </c>
      <c r="D32" t="str">
        <f>_xlfn.XLOOKUP(C32,employees!$A$2:$A$9,employees!$B$2:$B$9)</f>
        <v>Amina Rahman</v>
      </c>
      <c r="E32" t="s">
        <v>41</v>
      </c>
      <c r="F32" t="str">
        <f>_xlfn.XLOOKUP(E32,projects!$A$2:$A$6,projects!$B$2:$B$6)</f>
        <v>LearnLoop</v>
      </c>
      <c r="G32">
        <v>85</v>
      </c>
      <c r="H32" t="s">
        <v>50</v>
      </c>
    </row>
    <row r="33" spans="1:8" x14ac:dyDescent="0.25">
      <c r="A33" t="s">
        <v>87</v>
      </c>
      <c r="B33" t="s">
        <v>88</v>
      </c>
      <c r="C33" t="s">
        <v>7</v>
      </c>
      <c r="D33" t="str">
        <f>_xlfn.XLOOKUP(C33,employees!$A$2:$A$9,employees!$B$2:$B$9)</f>
        <v>Tanvir Hasan</v>
      </c>
      <c r="E33" t="s">
        <v>41</v>
      </c>
      <c r="F33" t="str">
        <f>_xlfn.XLOOKUP(E33,projects!$A$2:$A$6,projects!$B$2:$B$6)</f>
        <v>LearnLoop</v>
      </c>
      <c r="G33">
        <v>95</v>
      </c>
      <c r="H33" t="s">
        <v>50</v>
      </c>
    </row>
    <row r="34" spans="1:8" x14ac:dyDescent="0.25">
      <c r="A34" t="s">
        <v>105</v>
      </c>
      <c r="B34" t="s">
        <v>106</v>
      </c>
      <c r="C34" t="s">
        <v>4</v>
      </c>
      <c r="D34" t="str">
        <f>_xlfn.XLOOKUP(C34,employees!$A$2:$A$9,employees!$B$2:$B$9)</f>
        <v>Amina Rahman</v>
      </c>
      <c r="E34" t="s">
        <v>41</v>
      </c>
      <c r="F34" t="str">
        <f>_xlfn.XLOOKUP(E34,projects!$A$2:$A$6,projects!$B$2:$B$6)</f>
        <v>LearnLoop</v>
      </c>
      <c r="G34">
        <v>90</v>
      </c>
      <c r="H34" t="s">
        <v>50</v>
      </c>
    </row>
    <row r="35" spans="1:8" x14ac:dyDescent="0.25">
      <c r="A35" t="s">
        <v>107</v>
      </c>
      <c r="B35" t="s">
        <v>108</v>
      </c>
      <c r="C35" t="s">
        <v>7</v>
      </c>
      <c r="D35" t="str">
        <f>_xlfn.XLOOKUP(C35,employees!$A$2:$A$9,employees!$B$2:$B$9)</f>
        <v>Tanvir Hasan</v>
      </c>
      <c r="E35" t="s">
        <v>41</v>
      </c>
      <c r="F35" t="str">
        <f>_xlfn.XLOOKUP(E35,projects!$A$2:$A$6,projects!$B$2:$B$6)</f>
        <v>LearnLoop</v>
      </c>
      <c r="G35">
        <v>100</v>
      </c>
      <c r="H35" t="s">
        <v>50</v>
      </c>
    </row>
    <row r="36" spans="1:8" x14ac:dyDescent="0.25">
      <c r="A36" s="6" t="s">
        <v>109</v>
      </c>
      <c r="B36" s="6" t="s">
        <v>110</v>
      </c>
      <c r="C36" s="6" t="s">
        <v>9</v>
      </c>
      <c r="D36" s="6" t="str">
        <f>_xlfn.XLOOKUP(C36,employees!$A$2:$A$9,employees!$B$2:$B$9)</f>
        <v>Nadia Islam</v>
      </c>
      <c r="E36" s="6" t="s">
        <v>111</v>
      </c>
      <c r="F36" s="7" t="e">
        <f>_xlfn.XLOOKUP(E36,projects!$A$2:$A$6,projects!$B$2:$B$6)</f>
        <v>#N/A</v>
      </c>
      <c r="G36" s="6">
        <v>12</v>
      </c>
      <c r="H36" s="6" t="s">
        <v>112</v>
      </c>
    </row>
    <row r="38" spans="1:8" x14ac:dyDescent="0.25">
      <c r="G38" s="3">
        <f>SUBTOTAL(9,G2:G36)</f>
        <v>3190</v>
      </c>
    </row>
  </sheetData>
  <autoFilter ref="A1:H1" xr:uid="{00000000-0001-0000-0200-000000000000}">
    <sortState xmlns:xlrd2="http://schemas.microsoft.com/office/spreadsheetml/2017/richdata2" ref="A2:H36">
      <sortCondition ref="E1"/>
    </sortState>
  </autoFilter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G20"/>
  <sheetViews>
    <sheetView workbookViewId="0">
      <selection activeCell="H16" sqref="H16"/>
    </sheetView>
  </sheetViews>
  <sheetFormatPr defaultColWidth="11.42578125" defaultRowHeight="15" x14ac:dyDescent="0.25"/>
  <cols>
    <col min="1" max="1" width="15.85546875" bestFit="1" customWidth="1"/>
    <col min="2" max="2" width="18.28515625" bestFit="1" customWidth="1"/>
    <col min="3" max="3" width="14.5703125" bestFit="1" customWidth="1"/>
    <col min="4" max="4" width="14.5703125" customWidth="1"/>
    <col min="5" max="5" width="22" bestFit="1" customWidth="1"/>
    <col min="6" max="6" width="18.140625" style="3" bestFit="1" customWidth="1"/>
    <col min="7" max="7" width="13.140625" bestFit="1" customWidth="1"/>
  </cols>
  <sheetData>
    <row r="1" spans="1:7" x14ac:dyDescent="0.25">
      <c r="A1" s="1" t="s">
        <v>122</v>
      </c>
      <c r="B1" s="1" t="s">
        <v>123</v>
      </c>
      <c r="C1" s="1" t="s">
        <v>24</v>
      </c>
      <c r="D1" s="8" t="s">
        <v>159</v>
      </c>
      <c r="E1" s="1" t="s">
        <v>124</v>
      </c>
      <c r="F1" s="2" t="s">
        <v>125</v>
      </c>
      <c r="G1" s="1" t="s">
        <v>126</v>
      </c>
    </row>
    <row r="2" spans="1:7" x14ac:dyDescent="0.25">
      <c r="A2" t="s">
        <v>127</v>
      </c>
      <c r="B2" t="s">
        <v>128</v>
      </c>
      <c r="C2" t="s">
        <v>29</v>
      </c>
      <c r="D2" t="str">
        <f>_xlfn.XLOOKUP(C2,projects!$A$2:$A$6,projects!$B$2:$B$6)</f>
        <v>Briclab</v>
      </c>
      <c r="E2" t="s">
        <v>129</v>
      </c>
      <c r="F2" s="3">
        <v>420</v>
      </c>
      <c r="G2" t="s">
        <v>130</v>
      </c>
    </row>
    <row r="3" spans="1:7" x14ac:dyDescent="0.25">
      <c r="A3" t="s">
        <v>138</v>
      </c>
      <c r="B3" t="s">
        <v>139</v>
      </c>
      <c r="C3" t="s">
        <v>29</v>
      </c>
      <c r="D3" t="str">
        <f>_xlfn.XLOOKUP(C3,projects!$A$2:$A$6,projects!$B$2:$B$6)</f>
        <v>Briclab</v>
      </c>
      <c r="E3" t="s">
        <v>132</v>
      </c>
      <c r="F3" s="3">
        <v>450</v>
      </c>
      <c r="G3" t="s">
        <v>130</v>
      </c>
    </row>
    <row r="4" spans="1:7" x14ac:dyDescent="0.25">
      <c r="A4" t="s">
        <v>146</v>
      </c>
      <c r="B4" t="s">
        <v>147</v>
      </c>
      <c r="C4" t="s">
        <v>29</v>
      </c>
      <c r="D4" t="str">
        <f>_xlfn.XLOOKUP(C4,projects!$A$2:$A$6,projects!$B$2:$B$6)</f>
        <v>Briclab</v>
      </c>
      <c r="E4" t="s">
        <v>129</v>
      </c>
      <c r="F4" s="3">
        <v>470</v>
      </c>
      <c r="G4" t="s">
        <v>130</v>
      </c>
    </row>
    <row r="5" spans="1:7" x14ac:dyDescent="0.25">
      <c r="A5" t="s">
        <v>131</v>
      </c>
      <c r="B5" t="s">
        <v>54</v>
      </c>
      <c r="C5" t="s">
        <v>32</v>
      </c>
      <c r="D5" t="str">
        <f>_xlfn.XLOOKUP(C5,projects!$A$2:$A$6,projects!$B$2:$B$6)</f>
        <v>FinTrack</v>
      </c>
      <c r="E5" t="s">
        <v>132</v>
      </c>
      <c r="F5" s="3">
        <v>250</v>
      </c>
      <c r="G5" t="s">
        <v>130</v>
      </c>
    </row>
    <row r="6" spans="1:7" x14ac:dyDescent="0.25">
      <c r="A6" t="s">
        <v>140</v>
      </c>
      <c r="B6" t="s">
        <v>76</v>
      </c>
      <c r="C6" t="s">
        <v>32</v>
      </c>
      <c r="D6" t="str">
        <f>_xlfn.XLOOKUP(C6,projects!$A$2:$A$6,projects!$B$2:$B$6)</f>
        <v>FinTrack</v>
      </c>
      <c r="E6" t="s">
        <v>129</v>
      </c>
      <c r="F6" s="3">
        <v>270</v>
      </c>
      <c r="G6" t="s">
        <v>130</v>
      </c>
    </row>
    <row r="7" spans="1:7" x14ac:dyDescent="0.25">
      <c r="A7" t="s">
        <v>148</v>
      </c>
      <c r="B7" t="s">
        <v>96</v>
      </c>
      <c r="C7" t="s">
        <v>32</v>
      </c>
      <c r="D7" t="str">
        <f>_xlfn.XLOOKUP(C7,projects!$A$2:$A$6,projects!$B$2:$B$6)</f>
        <v>FinTrack</v>
      </c>
      <c r="E7" t="s">
        <v>132</v>
      </c>
      <c r="F7" s="3">
        <v>290</v>
      </c>
      <c r="G7" t="s">
        <v>130</v>
      </c>
    </row>
    <row r="8" spans="1:7" x14ac:dyDescent="0.25">
      <c r="A8" t="s">
        <v>133</v>
      </c>
      <c r="B8" t="s">
        <v>134</v>
      </c>
      <c r="C8" t="s">
        <v>35</v>
      </c>
      <c r="D8" t="str">
        <f>_xlfn.XLOOKUP(C8,projects!$A$2:$A$6,projects!$B$2:$B$6)</f>
        <v>ShopEase</v>
      </c>
      <c r="E8" t="s">
        <v>129</v>
      </c>
      <c r="F8" s="3">
        <v>310</v>
      </c>
      <c r="G8" t="s">
        <v>130</v>
      </c>
    </row>
    <row r="9" spans="1:7" x14ac:dyDescent="0.25">
      <c r="A9" t="s">
        <v>141</v>
      </c>
      <c r="B9" t="s">
        <v>142</v>
      </c>
      <c r="C9" t="s">
        <v>35</v>
      </c>
      <c r="D9" t="str">
        <f>_xlfn.XLOOKUP(C9,projects!$A$2:$A$6,projects!$B$2:$B$6)</f>
        <v>ShopEase</v>
      </c>
      <c r="E9" t="s">
        <v>132</v>
      </c>
      <c r="F9" s="3">
        <v>330</v>
      </c>
      <c r="G9" t="s">
        <v>130</v>
      </c>
    </row>
    <row r="10" spans="1:7" x14ac:dyDescent="0.25">
      <c r="A10" t="s">
        <v>149</v>
      </c>
      <c r="B10" t="s">
        <v>150</v>
      </c>
      <c r="C10" t="s">
        <v>35</v>
      </c>
      <c r="D10" t="str">
        <f>_xlfn.XLOOKUP(C10,projects!$A$2:$A$6,projects!$B$2:$B$6)</f>
        <v>ShopEase</v>
      </c>
      <c r="E10" t="s">
        <v>129</v>
      </c>
      <c r="F10" s="3">
        <v>350</v>
      </c>
      <c r="G10" t="s">
        <v>130</v>
      </c>
    </row>
    <row r="11" spans="1:7" x14ac:dyDescent="0.25">
      <c r="A11" t="s">
        <v>135</v>
      </c>
      <c r="B11" t="s">
        <v>62</v>
      </c>
      <c r="C11" t="s">
        <v>38</v>
      </c>
      <c r="D11" t="str">
        <f>_xlfn.XLOOKUP(C11,projects!$A$2:$A$6,projects!$B$2:$B$6)</f>
        <v>MediCore</v>
      </c>
      <c r="E11" t="s">
        <v>132</v>
      </c>
      <c r="F11" s="3">
        <v>480</v>
      </c>
      <c r="G11" t="s">
        <v>130</v>
      </c>
    </row>
    <row r="12" spans="1:7" x14ac:dyDescent="0.25">
      <c r="A12" t="s">
        <v>143</v>
      </c>
      <c r="B12" t="s">
        <v>84</v>
      </c>
      <c r="C12" t="s">
        <v>38</v>
      </c>
      <c r="D12" t="str">
        <f>_xlfn.XLOOKUP(C12,projects!$A$2:$A$6,projects!$B$2:$B$6)</f>
        <v>MediCore</v>
      </c>
      <c r="E12" t="s">
        <v>129</v>
      </c>
      <c r="F12" s="3">
        <v>510</v>
      </c>
      <c r="G12" t="s">
        <v>130</v>
      </c>
    </row>
    <row r="13" spans="1:7" x14ac:dyDescent="0.25">
      <c r="A13" t="s">
        <v>151</v>
      </c>
      <c r="B13" t="s">
        <v>104</v>
      </c>
      <c r="C13" t="s">
        <v>38</v>
      </c>
      <c r="D13" t="str">
        <f>_xlfn.XLOOKUP(C13,projects!$A$2:$A$6,projects!$B$2:$B$6)</f>
        <v>MediCore</v>
      </c>
      <c r="E13" t="s">
        <v>132</v>
      </c>
      <c r="F13" s="3">
        <v>530</v>
      </c>
      <c r="G13" t="s">
        <v>130</v>
      </c>
    </row>
    <row r="14" spans="1:7" x14ac:dyDescent="0.25">
      <c r="A14" t="s">
        <v>136</v>
      </c>
      <c r="B14" t="s">
        <v>137</v>
      </c>
      <c r="C14" t="s">
        <v>41</v>
      </c>
      <c r="D14" t="str">
        <f>_xlfn.XLOOKUP(C14,projects!$A$2:$A$6,projects!$B$2:$B$6)</f>
        <v>LearnLoop</v>
      </c>
      <c r="E14" t="s">
        <v>129</v>
      </c>
      <c r="F14" s="3">
        <v>200</v>
      </c>
      <c r="G14" t="s">
        <v>130</v>
      </c>
    </row>
    <row r="15" spans="1:7" x14ac:dyDescent="0.25">
      <c r="A15" t="s">
        <v>144</v>
      </c>
      <c r="B15" t="s">
        <v>145</v>
      </c>
      <c r="C15" t="s">
        <v>41</v>
      </c>
      <c r="D15" t="str">
        <f>_xlfn.XLOOKUP(C15,projects!$A$2:$A$6,projects!$B$2:$B$6)</f>
        <v>LearnLoop</v>
      </c>
      <c r="E15" t="s">
        <v>132</v>
      </c>
      <c r="F15" s="3">
        <v>220</v>
      </c>
      <c r="G15" t="s">
        <v>130</v>
      </c>
    </row>
    <row r="16" spans="1:7" x14ac:dyDescent="0.25">
      <c r="A16" t="s">
        <v>152</v>
      </c>
      <c r="B16" t="s">
        <v>153</v>
      </c>
      <c r="C16" t="s">
        <v>41</v>
      </c>
      <c r="D16" t="str">
        <f>_xlfn.XLOOKUP(C16,projects!$A$2:$A$6,projects!$B$2:$B$6)</f>
        <v>LearnLoop</v>
      </c>
      <c r="E16" t="s">
        <v>129</v>
      </c>
      <c r="F16" s="3">
        <v>240</v>
      </c>
      <c r="G16" t="s">
        <v>130</v>
      </c>
    </row>
    <row r="17" spans="1:7" s="6" customFormat="1" x14ac:dyDescent="0.25">
      <c r="A17" s="6" t="s">
        <v>154</v>
      </c>
      <c r="B17" s="6" t="s">
        <v>155</v>
      </c>
      <c r="C17" s="6" t="s">
        <v>156</v>
      </c>
      <c r="D17" s="7" t="e">
        <f>_xlfn.XLOOKUP(C17,projects!$A$2:$A$6,projects!$B$2:$B$6)</f>
        <v>#N/A</v>
      </c>
      <c r="E17" s="6" t="s">
        <v>132</v>
      </c>
      <c r="F17" s="9">
        <v>95</v>
      </c>
      <c r="G17" s="6" t="s">
        <v>130</v>
      </c>
    </row>
    <row r="20" spans="1:7" x14ac:dyDescent="0.25">
      <c r="F20" s="3">
        <f>SUBTOTAL(9,F2:F17)</f>
        <v>5415</v>
      </c>
    </row>
  </sheetData>
  <autoFilter ref="A1:G1" xr:uid="{00000000-0001-0000-0300-000000000000}">
    <sortState xmlns:xlrd2="http://schemas.microsoft.com/office/spreadsheetml/2017/richdata2" ref="A2:G17">
      <sortCondition ref="C1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activeCell="B24" sqref="B24"/>
    </sheetView>
  </sheetViews>
  <sheetFormatPr defaultRowHeight="15" x14ac:dyDescent="0.25"/>
  <cols>
    <col min="1" max="1" width="21.140625" bestFit="1" customWidth="1"/>
    <col min="2" max="2" width="110.42578125" bestFit="1" customWidth="1"/>
  </cols>
  <sheetData>
    <row r="1" spans="1:2" x14ac:dyDescent="0.25">
      <c r="A1" s="1" t="s">
        <v>157</v>
      </c>
      <c r="B1" s="1" t="s">
        <v>158</v>
      </c>
    </row>
    <row r="2" spans="1:2" x14ac:dyDescent="0.25">
      <c r="A2" t="s">
        <v>159</v>
      </c>
      <c r="B2" t="s">
        <v>160</v>
      </c>
    </row>
    <row r="3" spans="1:2" x14ac:dyDescent="0.25">
      <c r="A3" t="s">
        <v>161</v>
      </c>
      <c r="B3" t="s">
        <v>162</v>
      </c>
    </row>
    <row r="4" spans="1:2" x14ac:dyDescent="0.25">
      <c r="A4" t="s">
        <v>163</v>
      </c>
      <c r="B4" t="s">
        <v>130</v>
      </c>
    </row>
    <row r="5" spans="1:2" x14ac:dyDescent="0.25">
      <c r="A5" t="s">
        <v>164</v>
      </c>
      <c r="B5" t="s">
        <v>165</v>
      </c>
    </row>
    <row r="6" spans="1:2" x14ac:dyDescent="0.25">
      <c r="A6" t="s">
        <v>166</v>
      </c>
      <c r="B6" t="s">
        <v>167</v>
      </c>
    </row>
    <row r="7" spans="1:2" x14ac:dyDescent="0.25">
      <c r="A7" t="s">
        <v>168</v>
      </c>
      <c r="B7" t="s">
        <v>169</v>
      </c>
    </row>
    <row r="8" spans="1:2" x14ac:dyDescent="0.25">
      <c r="A8" t="s">
        <v>170</v>
      </c>
      <c r="B8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</vt:lpstr>
      <vt:lpstr>projects</vt:lpstr>
      <vt:lpstr>timesheets</vt:lpstr>
      <vt:lpstr>expenses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shafayat hossain</cp:lastModifiedBy>
  <dcterms:created xsi:type="dcterms:W3CDTF">2026-10-21T16:44:44Z</dcterms:created>
  <dcterms:modified xsi:type="dcterms:W3CDTF">2026-10-21T18:42:06Z</dcterms:modified>
</cp:coreProperties>
</file>