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fa\Downloads\project1\Git Hub employee-project-profitability\Data\Cleaned Data\"/>
    </mc:Choice>
  </mc:AlternateContent>
  <xr:revisionPtr revIDLastSave="0" documentId="13_ncr:1_{04797751-8356-44B8-8CC4-DFD00355DC52}" xr6:coauthVersionLast="47" xr6:coauthVersionMax="47" xr10:uidLastSave="{00000000-0000-0000-0000-000000000000}"/>
  <bookViews>
    <workbookView xWindow="19090" yWindow="750" windowWidth="19420" windowHeight="10300" activeTab="6" xr2:uid="{00000000-000D-0000-FFFF-FFFF00000000}"/>
  </bookViews>
  <sheets>
    <sheet name="employees" sheetId="3" r:id="rId1"/>
    <sheet name="projects" sheetId="4" r:id="rId2"/>
    <sheet name="expenses" sheetId="5" r:id="rId3"/>
    <sheet name="timesheets" sheetId="2" r:id="rId4"/>
    <sheet name="Project P&amp;L" sheetId="6" r:id="rId5"/>
    <sheet name="Utilization Employee" sheetId="7" r:id="rId6"/>
    <sheet name="charts" sheetId="8" r:id="rId7"/>
  </sheets>
  <definedNames>
    <definedName name="ExternalData_1" localSheetId="3" hidden="1">timesheets!$A$1:$F$31</definedName>
    <definedName name="ExternalData_2" localSheetId="0" hidden="1">employees!$A$1:$E$9</definedName>
    <definedName name="ExternalData_2" localSheetId="2" hidden="1">expenses!$A$1:$E$16</definedName>
    <definedName name="ExternalData_2" localSheetId="1" hidden="1">projects!$A$1:$E$6</definedName>
  </definedName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2" i="6"/>
  <c r="I14" i="7"/>
  <c r="J7" i="7"/>
  <c r="J8" i="7"/>
  <c r="J9" i="7"/>
  <c r="J10" i="7"/>
  <c r="J11" i="7"/>
  <c r="J12" i="7"/>
  <c r="J13" i="7"/>
  <c r="J6" i="7"/>
  <c r="I7" i="7"/>
  <c r="I8" i="7"/>
  <c r="I9" i="7"/>
  <c r="I10" i="7"/>
  <c r="I11" i="7"/>
  <c r="I12" i="7"/>
  <c r="I13" i="7"/>
  <c r="I6" i="7"/>
  <c r="H7" i="7"/>
  <c r="H8" i="7"/>
  <c r="H9" i="7"/>
  <c r="H10" i="7"/>
  <c r="H11" i="7"/>
  <c r="H12" i="7"/>
  <c r="H13" i="7"/>
  <c r="H6" i="7"/>
  <c r="I3" i="6"/>
  <c r="I4" i="6"/>
  <c r="I5" i="6"/>
  <c r="I6" i="6"/>
  <c r="H3" i="6"/>
  <c r="H4" i="6"/>
  <c r="H5" i="6"/>
  <c r="H6" i="6"/>
  <c r="I2" i="6"/>
  <c r="H2" i="6"/>
  <c r="C3" i="6"/>
  <c r="C4" i="6"/>
  <c r="C5" i="6"/>
  <c r="C6" i="6"/>
  <c r="C2" i="6"/>
  <c r="I2" i="2"/>
  <c r="F3" i="6"/>
  <c r="F4" i="6"/>
  <c r="F5" i="6"/>
  <c r="F6" i="6"/>
  <c r="F2" i="6"/>
  <c r="E3" i="6"/>
  <c r="G3" i="6" s="1"/>
  <c r="E4" i="6"/>
  <c r="E5" i="6"/>
  <c r="E6" i="6"/>
  <c r="E2" i="6"/>
  <c r="D3" i="6"/>
  <c r="D4" i="6"/>
  <c r="D5" i="6"/>
  <c r="D6" i="6"/>
  <c r="D2" i="6"/>
  <c r="B3" i="6"/>
  <c r="B4" i="6"/>
  <c r="B5" i="6"/>
  <c r="B6" i="6"/>
  <c r="B2" i="6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6" l="1"/>
  <c r="D8" i="6"/>
  <c r="G6" i="6"/>
  <c r="G5" i="6"/>
  <c r="G4" i="6"/>
  <c r="F8" i="6"/>
  <c r="C8" i="6"/>
  <c r="E8" i="6"/>
  <c r="J3" i="6"/>
  <c r="G8" i="6" l="1"/>
  <c r="J2" i="6"/>
  <c r="J5" i="6"/>
  <c r="J6" i="6" l="1"/>
  <c r="H8" i="6"/>
  <c r="J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BAD379-265B-4576-99DA-57AAD7CACAAF}" keepAlive="1" name="Query - employees" description="Connection to the 'employees' query in the workbook." type="5" refreshedVersion="7" background="1" saveData="1">
    <dbPr connection="Provider=Microsoft.Mashup.OleDb.1;Data Source=$Workbook$;Location=employees;Extended Properties=&quot;&quot;" command="SELECT * FROM [employees]"/>
  </connection>
  <connection id="2" xr16:uid="{D14BDD0F-132B-42FD-8988-5191C79D16A4}" keepAlive="1" name="Query - expenses" description="Connection to the 'expenses' query in the workbook." type="5" refreshedVersion="7" background="1" saveData="1">
    <dbPr connection="Provider=Microsoft.Mashup.OleDb.1;Data Source=$Workbook$;Location=expenses;Extended Properties=&quot;&quot;" command="SELECT * FROM [expenses]"/>
  </connection>
  <connection id="3" xr16:uid="{046F46A3-BF72-45DD-8585-FDD34B0AD6E9}" keepAlive="1" name="Query - projects" description="Connection to the 'projects' query in the workbook." type="5" refreshedVersion="7" background="1" saveData="1">
    <dbPr connection="Provider=Microsoft.Mashup.OleDb.1;Data Source=$Workbook$;Location=projects;Extended Properties=&quot;&quot;" command="SELECT * FROM [projects]"/>
  </connection>
  <connection id="4" xr16:uid="{1F5C86D7-8804-4473-8B2A-F971CAA8E16E}" keepAlive="1" name="Query - timesheets" description="Connection to the 'timesheets' query in the workbook." type="5" refreshedVersion="7" background="1" saveData="1">
    <dbPr connection="Provider=Microsoft.Mashup.OleDb.1;Data Source=$Workbook$;Location=timesheets;Extended Properties=&quot;&quot;" command="SELECT * FROM [timesheets]"/>
  </connection>
</connections>
</file>

<file path=xl/sharedStrings.xml><?xml version="1.0" encoding="utf-8"?>
<sst xmlns="http://schemas.openxmlformats.org/spreadsheetml/2006/main" count="285" uniqueCount="125">
  <si>
    <t>timesheet_id</t>
  </si>
  <si>
    <t>work_date</t>
  </si>
  <si>
    <t>employee_id</t>
  </si>
  <si>
    <t>project_id</t>
  </si>
  <si>
    <t>hours_worked</t>
  </si>
  <si>
    <t>approval_status</t>
  </si>
  <si>
    <t>TS001</t>
  </si>
  <si>
    <t/>
  </si>
  <si>
    <t>E001</t>
  </si>
  <si>
    <t>P101</t>
  </si>
  <si>
    <t>Approved</t>
  </si>
  <si>
    <t>TS002</t>
  </si>
  <si>
    <t>E002</t>
  </si>
  <si>
    <t>TS011</t>
  </si>
  <si>
    <t>TS012</t>
  </si>
  <si>
    <t>TS021</t>
  </si>
  <si>
    <t>TS022</t>
  </si>
  <si>
    <t>TS003</t>
  </si>
  <si>
    <t>E003</t>
  </si>
  <si>
    <t>P102</t>
  </si>
  <si>
    <t>TS004</t>
  </si>
  <si>
    <t>E004</t>
  </si>
  <si>
    <t>TS013</t>
  </si>
  <si>
    <t>TS014</t>
  </si>
  <si>
    <t>TS023</t>
  </si>
  <si>
    <t>TS024</t>
  </si>
  <si>
    <t>TS005</t>
  </si>
  <si>
    <t>E005</t>
  </si>
  <si>
    <t>P103</t>
  </si>
  <si>
    <t>TS006</t>
  </si>
  <si>
    <t>E006</t>
  </si>
  <si>
    <t>TS015</t>
  </si>
  <si>
    <t>TS016</t>
  </si>
  <si>
    <t>TS025</t>
  </si>
  <si>
    <t>TS026</t>
  </si>
  <si>
    <t>TS007</t>
  </si>
  <si>
    <t>E007</t>
  </si>
  <si>
    <t>P104</t>
  </si>
  <si>
    <t>TS008</t>
  </si>
  <si>
    <t>E008</t>
  </si>
  <si>
    <t>TS017</t>
  </si>
  <si>
    <t>TS018</t>
  </si>
  <si>
    <t>TS027</t>
  </si>
  <si>
    <t>TS028</t>
  </si>
  <si>
    <t>TS009</t>
  </si>
  <si>
    <t>P105</t>
  </si>
  <si>
    <t>TS010</t>
  </si>
  <si>
    <t>TS019</t>
  </si>
  <si>
    <t>TS020</t>
  </si>
  <si>
    <t>TS029</t>
  </si>
  <si>
    <t>TS030</t>
  </si>
  <si>
    <t>employee_name</t>
  </si>
  <si>
    <t>department</t>
  </si>
  <si>
    <t>monthly_salary_usd</t>
  </si>
  <si>
    <t>hourly_rate</t>
  </si>
  <si>
    <t>Amina Rahman</t>
  </si>
  <si>
    <t>Engineering</t>
  </si>
  <si>
    <t>Tanvir Hasan</t>
  </si>
  <si>
    <t>Nadia Islam</t>
  </si>
  <si>
    <t>Design</t>
  </si>
  <si>
    <t>Rakib Ahmed</t>
  </si>
  <si>
    <t>Farhana Akter</t>
  </si>
  <si>
    <t>QA</t>
  </si>
  <si>
    <t>Sajid Karim</t>
  </si>
  <si>
    <t>Mehedi Chowdhury</t>
  </si>
  <si>
    <t>Project Management</t>
  </si>
  <si>
    <t>Jannat Sultana</t>
  </si>
  <si>
    <t>project_name</t>
  </si>
  <si>
    <t>client</t>
  </si>
  <si>
    <t>monthly_revenue_usd</t>
  </si>
  <si>
    <t>project_status</t>
  </si>
  <si>
    <t>Briclab</t>
  </si>
  <si>
    <t>Northstar Ltd</t>
  </si>
  <si>
    <t>Active</t>
  </si>
  <si>
    <t>FinTrack</t>
  </si>
  <si>
    <t>Delta Finance</t>
  </si>
  <si>
    <t>ShopEase</t>
  </si>
  <si>
    <t>RetailWorks</t>
  </si>
  <si>
    <t>MediCore</t>
  </si>
  <si>
    <t>HealthBridge</t>
  </si>
  <si>
    <t>LearnLoop</t>
  </si>
  <si>
    <t>EduSpark</t>
  </si>
  <si>
    <t>expense_id</t>
  </si>
  <si>
    <t>expense_date</t>
  </si>
  <si>
    <t>expense_category</t>
  </si>
  <si>
    <t>amount_usd</t>
  </si>
  <si>
    <t>EX001</t>
  </si>
  <si>
    <t>Cloud hosting</t>
  </si>
  <si>
    <t>EX006</t>
  </si>
  <si>
    <t>Software subscription</t>
  </si>
  <si>
    <t>EX011</t>
  </si>
  <si>
    <t>EX002</t>
  </si>
  <si>
    <t>EX007</t>
  </si>
  <si>
    <t>EX012</t>
  </si>
  <si>
    <t>EX003</t>
  </si>
  <si>
    <t>EX008</t>
  </si>
  <si>
    <t>EX013</t>
  </si>
  <si>
    <t>EX004</t>
  </si>
  <si>
    <t>EX009</t>
  </si>
  <si>
    <t>EX014</t>
  </si>
  <si>
    <t>EX005</t>
  </si>
  <si>
    <t>EX010</t>
  </si>
  <si>
    <t>EX015</t>
  </si>
  <si>
    <t>labor_cost</t>
  </si>
  <si>
    <t>month</t>
  </si>
  <si>
    <t>hours</t>
  </si>
  <si>
    <t>other_cost</t>
  </si>
  <si>
    <t>total_cost</t>
  </si>
  <si>
    <t>profit</t>
  </si>
  <si>
    <t>margin</t>
  </si>
  <si>
    <t>Project_id</t>
  </si>
  <si>
    <t>Total</t>
  </si>
  <si>
    <t>Profit per Hour</t>
  </si>
  <si>
    <t>per Houe %</t>
  </si>
  <si>
    <t>Revenue 3 month</t>
  </si>
  <si>
    <t>Row Labels</t>
  </si>
  <si>
    <t>Grand Total</t>
  </si>
  <si>
    <t>Column Labels</t>
  </si>
  <si>
    <t>Jul</t>
  </si>
  <si>
    <t>Aug</t>
  </si>
  <si>
    <t>Sep</t>
  </si>
  <si>
    <t>Sum of hours_worked</t>
  </si>
  <si>
    <t>Employee</t>
  </si>
  <si>
    <t xml:space="preserve">Total Work </t>
  </si>
  <si>
    <t>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</si>
</sst>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[$-409]mmm\-yy;@"/>
    <numFmt numFmtId="170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14" fontId="0" fillId="0" borderId="0" xfId="0" applyNumberFormat="1"/>
    <xf numFmtId="169" fontId="0" fillId="0" borderId="0" xfId="0" applyNumberFormat="1"/>
    <xf numFmtId="9" fontId="0" fillId="0" borderId="0" xfId="2" applyFont="1"/>
    <xf numFmtId="170" fontId="0" fillId="0" borderId="0" xfId="1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2" xfId="0" applyNumberFormat="1" applyFont="1" applyFill="1" applyBorder="1"/>
    <xf numFmtId="0" fontId="2" fillId="0" borderId="0" xfId="0" applyFont="1"/>
    <xf numFmtId="14" fontId="2" fillId="0" borderId="0" xfId="0" applyNumberFormat="1" applyFont="1"/>
    <xf numFmtId="170" fontId="2" fillId="0" borderId="0" xfId="1" applyNumberFormat="1" applyFont="1"/>
    <xf numFmtId="2" fontId="2" fillId="0" borderId="0" xfId="0" applyNumberFormat="1" applyFont="1"/>
    <xf numFmtId="0" fontId="2" fillId="0" borderId="3" xfId="0" applyFont="1" applyBorder="1"/>
    <xf numFmtId="170" fontId="2" fillId="0" borderId="3" xfId="1" applyNumberFormat="1" applyFont="1" applyBorder="1"/>
    <xf numFmtId="2" fontId="2" fillId="0" borderId="3" xfId="1" applyNumberFormat="1" applyFont="1" applyBorder="1"/>
    <xf numFmtId="43" fontId="2" fillId="0" borderId="3" xfId="1" applyFont="1" applyBorder="1"/>
  </cellXfs>
  <cellStyles count="3">
    <cellStyle name="Comma" xfId="1" builtinId="3"/>
    <cellStyle name="Normal" xfId="0" builtinId="0"/>
    <cellStyle name="Percent" xfId="2" builtinId="5"/>
  </cellStyles>
  <dxfs count="20">
    <dxf>
      <numFmt numFmtId="169" formatCode="[$-409]mmm\-yy;@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per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'Project P&amp;L'!$B$2:$B$6</c:f>
              <c:strCache>
                <c:ptCount val="5"/>
                <c:pt idx="0">
                  <c:v>Briclab</c:v>
                </c:pt>
                <c:pt idx="1">
                  <c:v>FinTrack</c:v>
                </c:pt>
                <c:pt idx="2">
                  <c:v>ShopEase</c:v>
                </c:pt>
                <c:pt idx="3">
                  <c:v>MediCore</c:v>
                </c:pt>
                <c:pt idx="4">
                  <c:v>LearnLoop</c:v>
                </c:pt>
              </c:strCache>
            </c:strRef>
          </c:cat>
          <c:val>
            <c:numRef>
              <c:f>'Project P&amp;L'!$H$2:$H$6</c:f>
              <c:numCache>
                <c:formatCode>"$"#,##0.00</c:formatCode>
                <c:ptCount val="5"/>
                <c:pt idx="0">
                  <c:v>27488.125</c:v>
                </c:pt>
                <c:pt idx="1">
                  <c:v>21924.375</c:v>
                </c:pt>
                <c:pt idx="2">
                  <c:v>16344.375</c:v>
                </c:pt>
                <c:pt idx="3">
                  <c:v>25512.8125</c:v>
                </c:pt>
                <c:pt idx="4">
                  <c:v>14799.375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9-45C1-BBDA-C476DB478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88520287"/>
        <c:axId val="788525695"/>
      </c:barChart>
      <c:catAx>
        <c:axId val="78852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25695"/>
        <c:crosses val="autoZero"/>
        <c:auto val="1"/>
        <c:lblAlgn val="ctr"/>
        <c:lblOffset val="100"/>
        <c:noMultiLvlLbl val="0"/>
      </c:catAx>
      <c:valAx>
        <c:axId val="78852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2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 P&amp;L'!$B$2:$B$6</c:f>
              <c:strCache>
                <c:ptCount val="5"/>
                <c:pt idx="0">
                  <c:v>Briclab</c:v>
                </c:pt>
                <c:pt idx="1">
                  <c:v>FinTrack</c:v>
                </c:pt>
                <c:pt idx="2">
                  <c:v>ShopEase</c:v>
                </c:pt>
                <c:pt idx="3">
                  <c:v>MediCore</c:v>
                </c:pt>
                <c:pt idx="4">
                  <c:v>LearnLoop</c:v>
                </c:pt>
              </c:strCache>
            </c:strRef>
          </c:cat>
          <c:val>
            <c:numRef>
              <c:f>'Project P&amp;L'!$C$2:$C$6</c:f>
              <c:numCache>
                <c:formatCode>"$"#,##0.00</c:formatCode>
                <c:ptCount val="5"/>
                <c:pt idx="0">
                  <c:v>36000</c:v>
                </c:pt>
                <c:pt idx="1">
                  <c:v>28500</c:v>
                </c:pt>
                <c:pt idx="2">
                  <c:v>24000</c:v>
                </c:pt>
                <c:pt idx="3">
                  <c:v>33000</c:v>
                </c:pt>
                <c:pt idx="4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6-4C23-9576-16C8F7EAEB0E}"/>
            </c:ext>
          </c:extLst>
        </c:ser>
        <c:ser>
          <c:idx val="1"/>
          <c:order val="1"/>
          <c:tx>
            <c:v>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'Project P&amp;L'!$B$2:$B$6</c:f>
              <c:strCache>
                <c:ptCount val="5"/>
                <c:pt idx="0">
                  <c:v>Briclab</c:v>
                </c:pt>
                <c:pt idx="1">
                  <c:v>FinTrack</c:v>
                </c:pt>
                <c:pt idx="2">
                  <c:v>ShopEase</c:v>
                </c:pt>
                <c:pt idx="3">
                  <c:v>MediCore</c:v>
                </c:pt>
                <c:pt idx="4">
                  <c:v>LearnLoop</c:v>
                </c:pt>
              </c:strCache>
            </c:strRef>
          </c:cat>
          <c:val>
            <c:numRef>
              <c:f>'Project P&amp;L'!$G$2:$G$6</c:f>
              <c:numCache>
                <c:formatCode>"$"#,##0.00</c:formatCode>
                <c:ptCount val="5"/>
                <c:pt idx="0">
                  <c:v>8511.875</c:v>
                </c:pt>
                <c:pt idx="1">
                  <c:v>6575.625</c:v>
                </c:pt>
                <c:pt idx="2">
                  <c:v>7655.625</c:v>
                </c:pt>
                <c:pt idx="3">
                  <c:v>7487.1875</c:v>
                </c:pt>
                <c:pt idx="4">
                  <c:v>6200.625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6-4C23-9576-16C8F7EAE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461247"/>
        <c:axId val="790458335"/>
      </c:barChart>
      <c:catAx>
        <c:axId val="79046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58335"/>
        <c:crosses val="autoZero"/>
        <c:auto val="1"/>
        <c:lblAlgn val="ctr"/>
        <c:lblOffset val="100"/>
        <c:noMultiLvlLbl val="0"/>
      </c:catAx>
      <c:valAx>
        <c:axId val="79045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6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'Utilization Employee'!$I$5</c:f>
              <c:strCache>
                <c:ptCount val="1"/>
                <c:pt idx="0">
                  <c:v>Total Work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'Utilization Employee'!$H$6:$H$13</c:f>
              <c:strCache>
                <c:ptCount val="8"/>
                <c:pt idx="0">
                  <c:v>Amina Rahman</c:v>
                </c:pt>
                <c:pt idx="1">
                  <c:v>Tanvir Hasan</c:v>
                </c:pt>
                <c:pt idx="2">
                  <c:v>Nadia Islam</c:v>
                </c:pt>
                <c:pt idx="3">
                  <c:v>Rakib Ahmed</c:v>
                </c:pt>
                <c:pt idx="4">
                  <c:v>Farhana Akter</c:v>
                </c:pt>
                <c:pt idx="5">
                  <c:v>Sajid Karim</c:v>
                </c:pt>
                <c:pt idx="6">
                  <c:v>Mehedi Chowdhury</c:v>
                </c:pt>
                <c:pt idx="7">
                  <c:v>Jannat Sultana</c:v>
                </c:pt>
              </c:strCache>
            </c:strRef>
          </c:cat>
          <c:val>
            <c:numRef>
              <c:f>'Utilization Employee'!$I$6:$I$13</c:f>
              <c:numCache>
                <c:formatCode>General</c:formatCode>
                <c:ptCount val="8"/>
                <c:pt idx="0">
                  <c:v>630</c:v>
                </c:pt>
                <c:pt idx="1">
                  <c:v>600</c:v>
                </c:pt>
                <c:pt idx="2">
                  <c:v>285</c:v>
                </c:pt>
                <c:pt idx="3">
                  <c:v>345</c:v>
                </c:pt>
                <c:pt idx="4">
                  <c:v>315</c:v>
                </c:pt>
                <c:pt idx="5">
                  <c:v>405</c:v>
                </c:pt>
                <c:pt idx="6">
                  <c:v>315</c:v>
                </c:pt>
                <c:pt idx="7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3-4EBD-B0AC-1CCD0089C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863327"/>
        <c:axId val="790547359"/>
      </c:barChart>
      <c:lineChart>
        <c:grouping val="standard"/>
        <c:varyColors val="0"/>
        <c:ser>
          <c:idx val="1"/>
          <c:order val="1"/>
          <c:tx>
            <c:strRef>
              <c:f>'Utilization Employee'!$J$5</c:f>
              <c:strCache>
                <c:ptCount val="1"/>
                <c:pt idx="0">
                  <c:v>Utilization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'Utilization Employee'!$H$6:$H$13</c:f>
              <c:strCache>
                <c:ptCount val="8"/>
                <c:pt idx="0">
                  <c:v>Amina Rahman</c:v>
                </c:pt>
                <c:pt idx="1">
                  <c:v>Tanvir Hasan</c:v>
                </c:pt>
                <c:pt idx="2">
                  <c:v>Nadia Islam</c:v>
                </c:pt>
                <c:pt idx="3">
                  <c:v>Rakib Ahmed</c:v>
                </c:pt>
                <c:pt idx="4">
                  <c:v>Farhana Akter</c:v>
                </c:pt>
                <c:pt idx="5">
                  <c:v>Sajid Karim</c:v>
                </c:pt>
                <c:pt idx="6">
                  <c:v>Mehedi Chowdhury</c:v>
                </c:pt>
                <c:pt idx="7">
                  <c:v>Jannat Sultana</c:v>
                </c:pt>
              </c:strCache>
            </c:strRef>
          </c:cat>
          <c:val>
            <c:numRef>
              <c:f>'Utilization Employee'!$J$6:$J$13</c:f>
              <c:numCache>
                <c:formatCode>0%</c:formatCode>
                <c:ptCount val="8"/>
                <c:pt idx="0">
                  <c:v>1.3125</c:v>
                </c:pt>
                <c:pt idx="1">
                  <c:v>1.25</c:v>
                </c:pt>
                <c:pt idx="2">
                  <c:v>0.59375</c:v>
                </c:pt>
                <c:pt idx="3">
                  <c:v>0.71875</c:v>
                </c:pt>
                <c:pt idx="4">
                  <c:v>0.65625</c:v>
                </c:pt>
                <c:pt idx="5">
                  <c:v>0.84375</c:v>
                </c:pt>
                <c:pt idx="6">
                  <c:v>0.65625</c:v>
                </c:pt>
                <c:pt idx="7">
                  <c:v>0.59375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3-4EBD-B0AC-1CCD0089C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544863"/>
        <c:axId val="790547775"/>
      </c:lineChart>
      <c:catAx>
        <c:axId val="79186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547359"/>
        <c:crosses val="autoZero"/>
        <c:auto val="1"/>
        <c:lblAlgn val="ctr"/>
        <c:lblOffset val="100"/>
        <c:noMultiLvlLbl val="0"/>
      </c:catAx>
      <c:valAx>
        <c:axId val="7905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3327"/>
        <c:crosses val="autoZero"/>
        <c:crossBetween val="between"/>
      </c:valAx>
      <c:valAx>
        <c:axId val="79054777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544863"/>
        <c:crosses val="max"/>
        <c:crossBetween val="between"/>
      </c:valAx>
      <c:catAx>
        <c:axId val="790544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0547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2</xdr:row>
      <xdr:rowOff>101600</xdr:rowOff>
    </xdr:from>
    <xdr:to>
      <xdr:col>7</xdr:col>
      <xdr:colOff>450850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1DD850-466A-4652-BC45-F3F9B7F9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16</xdr:col>
      <xdr:colOff>304800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74964-EF0E-465B-8E52-7BF125F5E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304800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48599A-FB48-491B-91FB-2BEBF7D2C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shafayat hossain" refreshedDate="46317.318583564818" createdVersion="7" refreshedVersion="7" minRefreshableVersion="3" recordCount="30" xr:uid="{0A6D090A-C310-491E-BB5B-3EF92888B39D}">
  <cacheSource type="worksheet">
    <worksheetSource name="timesheets"/>
  </cacheSource>
  <cacheFields count="11">
    <cacheField name="timesheet_id" numFmtId="0">
      <sharedItems/>
    </cacheField>
    <cacheField name="work_date" numFmtId="14">
      <sharedItems containsSemiMixedTypes="0" containsNonDate="0" containsDate="1" containsString="0" minDate="2026-07-02T00:00:00" maxDate="2026-09-21T00:00:00"/>
    </cacheField>
    <cacheField name="employee_id" numFmtId="0">
      <sharedItems count="8">
        <s v="E001"/>
        <s v="E002"/>
        <s v="E003"/>
        <s v="E004"/>
        <s v="E005"/>
        <s v="E006"/>
        <s v="E007"/>
        <s v="E008"/>
      </sharedItems>
    </cacheField>
    <cacheField name="project_id" numFmtId="0">
      <sharedItems/>
    </cacheField>
    <cacheField name="hours_worked" numFmtId="0">
      <sharedItems containsSemiMixedTypes="0" containsString="0" containsNumber="1" containsInteger="1" minValue="80" maxValue="140"/>
    </cacheField>
    <cacheField name="approval_status" numFmtId="0">
      <sharedItems/>
    </cacheField>
    <cacheField name="employee_name" numFmtId="0">
      <sharedItems/>
    </cacheField>
    <cacheField name="hourly_rate" numFmtId="0">
      <sharedItems containsSemiMixedTypes="0" containsString="0" containsNumber="1" minValue="7.5" maxValue="11.875"/>
    </cacheField>
    <cacheField name="labor_cost" numFmtId="0">
      <sharedItems containsSemiMixedTypes="0" containsString="0" containsNumber="1" minValue="703.125" maxValue="1487.5"/>
    </cacheField>
    <cacheField name="month" numFmtId="169">
      <sharedItems containsSemiMixedTypes="0" containsNonDate="0" containsDate="1" containsString="0" minDate="2026-07-02T00:00:00" maxDate="2026-09-21T00:00:00" count="30">
        <d v="2026-07-02T00:00:00"/>
        <d v="2026-07-05T00:00:00"/>
        <d v="2026-08-02T00:00:00"/>
        <d v="2026-08-04T00:00:00"/>
        <d v="2026-09-02T00:00:00"/>
        <d v="2026-09-04T00:00:00"/>
        <d v="2026-07-08T00:00:00"/>
        <d v="2026-07-10T00:00:00"/>
        <d v="2026-08-06T00:00:00"/>
        <d v="2026-08-08T00:00:00"/>
        <d v="2026-09-06T00:00:00"/>
        <d v="2026-09-08T00:00:00"/>
        <d v="2026-07-12T00:00:00"/>
        <d v="2026-07-14T00:00:00"/>
        <d v="2026-08-10T00:00:00"/>
        <d v="2026-08-12T00:00:00"/>
        <d v="2026-09-10T00:00:00"/>
        <d v="2026-09-12T00:00:00"/>
        <d v="2026-07-16T00:00:00"/>
        <d v="2026-07-18T00:00:00"/>
        <d v="2026-08-14T00:00:00"/>
        <d v="2026-08-16T00:00:00"/>
        <d v="2026-09-14T00:00:00"/>
        <d v="2026-09-16T00:00:00"/>
        <d v="2026-07-20T00:00:00"/>
        <d v="2026-07-22T00:00:00"/>
        <d v="2026-08-18T00:00:00"/>
        <d v="2026-08-20T00:00:00"/>
        <d v="2026-09-18T00:00:00"/>
        <d v="2026-09-20T00:00:00"/>
      </sharedItems>
      <fieldGroup par="10" base="9">
        <rangePr groupBy="days" startDate="2026-07-02T00:00:00" endDate="2026-09-21T00:00:00"/>
        <groupItems count="368">
          <s v="&lt;7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21/2026"/>
        </groupItems>
      </fieldGroup>
    </cacheField>
    <cacheField name="Months" numFmtId="0" databaseField="0">
      <fieldGroup base="9">
        <rangePr groupBy="months" startDate="2026-07-02T00:00:00" endDate="2026-09-21T00:00:00"/>
        <groupItems count="14">
          <s v="&lt;7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S001"/>
    <d v="2026-07-02T00:00:00"/>
    <x v="0"/>
    <s v="P101"/>
    <n v="120"/>
    <s v="Approved"/>
    <s v="Amina Rahman"/>
    <n v="11.25"/>
    <n v="1350"/>
    <x v="0"/>
  </r>
  <r>
    <s v="TS002"/>
    <d v="2026-07-05T00:00:00"/>
    <x v="1"/>
    <s v="P101"/>
    <n v="100"/>
    <s v="Approved"/>
    <s v="Tanvir Hasan"/>
    <n v="9.375"/>
    <n v="937.5"/>
    <x v="1"/>
  </r>
  <r>
    <s v="TS011"/>
    <d v="2026-08-02T00:00:00"/>
    <x v="0"/>
    <s v="P101"/>
    <n v="125"/>
    <s v="Approved"/>
    <s v="Amina Rahman"/>
    <n v="11.25"/>
    <n v="1406.25"/>
    <x v="2"/>
  </r>
  <r>
    <s v="TS012"/>
    <d v="2026-08-04T00:00:00"/>
    <x v="1"/>
    <s v="P101"/>
    <n v="105"/>
    <s v="Approved"/>
    <s v="Tanvir Hasan"/>
    <n v="9.375"/>
    <n v="984.375"/>
    <x v="3"/>
  </r>
  <r>
    <s v="TS021"/>
    <d v="2026-09-02T00:00:00"/>
    <x v="0"/>
    <s v="P101"/>
    <n v="130"/>
    <s v="Approved"/>
    <s v="Amina Rahman"/>
    <n v="11.25"/>
    <n v="1462.5"/>
    <x v="4"/>
  </r>
  <r>
    <s v="TS022"/>
    <d v="2026-09-04T00:00:00"/>
    <x v="1"/>
    <s v="P101"/>
    <n v="110"/>
    <s v="Approved"/>
    <s v="Tanvir Hasan"/>
    <n v="9.375"/>
    <n v="1031.25"/>
    <x v="5"/>
  </r>
  <r>
    <s v="TS003"/>
    <d v="2026-07-08T00:00:00"/>
    <x v="2"/>
    <s v="P102"/>
    <n v="90"/>
    <s v="Approved"/>
    <s v="Nadia Islam"/>
    <n v="8.125"/>
    <n v="731.25"/>
    <x v="6"/>
  </r>
  <r>
    <s v="TS004"/>
    <d v="2026-07-10T00:00:00"/>
    <x v="3"/>
    <s v="P102"/>
    <n v="110"/>
    <s v="Approved"/>
    <s v="Rakib Ahmed"/>
    <n v="10"/>
    <n v="1100"/>
    <x v="7"/>
  </r>
  <r>
    <s v="TS013"/>
    <d v="2026-08-06T00:00:00"/>
    <x v="2"/>
    <s v="P102"/>
    <n v="95"/>
    <s v="Approved"/>
    <s v="Nadia Islam"/>
    <n v="8.125"/>
    <n v="771.875"/>
    <x v="8"/>
  </r>
  <r>
    <s v="TS014"/>
    <d v="2026-08-08T00:00:00"/>
    <x v="3"/>
    <s v="P102"/>
    <n v="115"/>
    <s v="Approved"/>
    <s v="Rakib Ahmed"/>
    <n v="10"/>
    <n v="1150"/>
    <x v="9"/>
  </r>
  <r>
    <s v="TS023"/>
    <d v="2026-09-06T00:00:00"/>
    <x v="2"/>
    <s v="P102"/>
    <n v="100"/>
    <s v="Approved"/>
    <s v="Nadia Islam"/>
    <n v="8.125"/>
    <n v="812.5"/>
    <x v="10"/>
  </r>
  <r>
    <s v="TS024"/>
    <d v="2026-09-08T00:00:00"/>
    <x v="3"/>
    <s v="P102"/>
    <n v="120"/>
    <s v="Approved"/>
    <s v="Rakib Ahmed"/>
    <n v="10"/>
    <n v="1200"/>
    <x v="11"/>
  </r>
  <r>
    <s v="TS005"/>
    <d v="2026-07-12T00:00:00"/>
    <x v="4"/>
    <s v="P103"/>
    <n v="100"/>
    <s v="Approved"/>
    <s v="Farhana Akter"/>
    <n v="7.5"/>
    <n v="750"/>
    <x v="12"/>
  </r>
  <r>
    <s v="TS006"/>
    <d v="2026-07-14T00:00:00"/>
    <x v="5"/>
    <s v="P103"/>
    <n v="130"/>
    <s v="Approved"/>
    <s v="Sajid Karim"/>
    <n v="10.625"/>
    <n v="1381.25"/>
    <x v="13"/>
  </r>
  <r>
    <s v="TS015"/>
    <d v="2026-08-10T00:00:00"/>
    <x v="4"/>
    <s v="P103"/>
    <n v="105"/>
    <s v="Approved"/>
    <s v="Farhana Akter"/>
    <n v="7.5"/>
    <n v="787.5"/>
    <x v="14"/>
  </r>
  <r>
    <s v="TS016"/>
    <d v="2026-08-12T00:00:00"/>
    <x v="5"/>
    <s v="P103"/>
    <n v="135"/>
    <s v="Approved"/>
    <s v="Sajid Karim"/>
    <n v="10.625"/>
    <n v="1434.375"/>
    <x v="15"/>
  </r>
  <r>
    <s v="TS025"/>
    <d v="2026-09-10T00:00:00"/>
    <x v="4"/>
    <s v="P103"/>
    <n v="110"/>
    <s v="Approved"/>
    <s v="Farhana Akter"/>
    <n v="7.5"/>
    <n v="825"/>
    <x v="16"/>
  </r>
  <r>
    <s v="TS026"/>
    <d v="2026-09-12T00:00:00"/>
    <x v="5"/>
    <s v="P103"/>
    <n v="140"/>
    <s v="Approved"/>
    <s v="Sajid Karim"/>
    <n v="10.625"/>
    <n v="1487.5"/>
    <x v="17"/>
  </r>
  <r>
    <s v="TS007"/>
    <d v="2026-07-16T00:00:00"/>
    <x v="6"/>
    <s v="P104"/>
    <n v="100"/>
    <s v="Approved"/>
    <s v="Mehedi Chowdhury"/>
    <n v="11.875"/>
    <n v="1187.5"/>
    <x v="18"/>
  </r>
  <r>
    <s v="TS008"/>
    <d v="2026-07-18T00:00:00"/>
    <x v="7"/>
    <s v="P104"/>
    <n v="90"/>
    <s v="Approved"/>
    <s v="Jannat Sultana"/>
    <n v="7.8125"/>
    <n v="703.125"/>
    <x v="19"/>
  </r>
  <r>
    <s v="TS017"/>
    <d v="2026-08-14T00:00:00"/>
    <x v="6"/>
    <s v="P104"/>
    <n v="105"/>
    <s v="Approved"/>
    <s v="Mehedi Chowdhury"/>
    <n v="11.875"/>
    <n v="1246.875"/>
    <x v="20"/>
  </r>
  <r>
    <s v="TS018"/>
    <d v="2026-08-16T00:00:00"/>
    <x v="7"/>
    <s v="P104"/>
    <n v="95"/>
    <s v="Approved"/>
    <s v="Jannat Sultana"/>
    <n v="7.8125"/>
    <n v="742.1875"/>
    <x v="21"/>
  </r>
  <r>
    <s v="TS027"/>
    <d v="2026-09-14T00:00:00"/>
    <x v="6"/>
    <s v="P104"/>
    <n v="110"/>
    <s v="Approved"/>
    <s v="Mehedi Chowdhury"/>
    <n v="11.875"/>
    <n v="1306.25"/>
    <x v="22"/>
  </r>
  <r>
    <s v="TS028"/>
    <d v="2026-09-16T00:00:00"/>
    <x v="7"/>
    <s v="P104"/>
    <n v="100"/>
    <s v="Approved"/>
    <s v="Jannat Sultana"/>
    <n v="7.8125"/>
    <n v="781.25"/>
    <x v="23"/>
  </r>
  <r>
    <s v="TS009"/>
    <d v="2026-07-20T00:00:00"/>
    <x v="0"/>
    <s v="P105"/>
    <n v="80"/>
    <s v="Approved"/>
    <s v="Amina Rahman"/>
    <n v="11.25"/>
    <n v="900"/>
    <x v="24"/>
  </r>
  <r>
    <s v="TS010"/>
    <d v="2026-07-22T00:00:00"/>
    <x v="1"/>
    <s v="P105"/>
    <n v="90"/>
    <s v="Approved"/>
    <s v="Tanvir Hasan"/>
    <n v="9.375"/>
    <n v="843.75"/>
    <x v="25"/>
  </r>
  <r>
    <s v="TS019"/>
    <d v="2026-08-18T00:00:00"/>
    <x v="0"/>
    <s v="P105"/>
    <n v="85"/>
    <s v="Approved"/>
    <s v="Amina Rahman"/>
    <n v="11.25"/>
    <n v="956.25"/>
    <x v="26"/>
  </r>
  <r>
    <s v="TS020"/>
    <d v="2026-08-20T00:00:00"/>
    <x v="1"/>
    <s v="P105"/>
    <n v="95"/>
    <s v="Approved"/>
    <s v="Tanvir Hasan"/>
    <n v="9.375"/>
    <n v="890.625"/>
    <x v="27"/>
  </r>
  <r>
    <s v="TS029"/>
    <d v="2026-09-18T00:00:00"/>
    <x v="0"/>
    <s v="P105"/>
    <n v="90"/>
    <s v="Approved"/>
    <s v="Amina Rahman"/>
    <n v="11.25"/>
    <n v="1012.5"/>
    <x v="28"/>
  </r>
  <r>
    <s v="TS030"/>
    <d v="2026-09-20T00:00:00"/>
    <x v="1"/>
    <s v="P105"/>
    <n v="100"/>
    <s v="Approved"/>
    <s v="Tanvir Hasan"/>
    <n v="9.375"/>
    <n v="937.5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28976-67B8-46C9-98F4-F3CA3706BA8E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4" firstHeaderRow="1" firstDataRow="3" firstDataCol="1"/>
  <pivotFields count="11"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numFmtId="169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0"/>
    <field x="9"/>
  </colFields>
  <colItems count="4">
    <i>
      <x v="7"/>
    </i>
    <i>
      <x v="8"/>
    </i>
    <i>
      <x v="9"/>
    </i>
    <i t="grand">
      <x/>
    </i>
  </colItems>
  <dataFields count="1">
    <dataField name="Sum of hours_worke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63508D7-924F-4ACF-8801-A83D75E13A69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employee_name" tableColumnId="2"/>
      <queryTableField id="3" name="department" tableColumnId="3"/>
      <queryTableField id="4" name="monthly_salary_usd" tableColumnId="4"/>
      <queryTableField id="5" name="hourly_r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3F2CD0A-87F4-4A8B-A022-16DDB463B502}" autoFormatId="16" applyNumberFormats="0" applyBorderFormats="0" applyFontFormats="0" applyPatternFormats="0" applyAlignmentFormats="0" applyWidthHeightFormats="0">
  <queryTableRefresh nextId="6">
    <queryTableFields count="5">
      <queryTableField id="1" name="project_id" tableColumnId="1"/>
      <queryTableField id="2" name="project_name" tableColumnId="2"/>
      <queryTableField id="3" name="client" tableColumnId="3"/>
      <queryTableField id="4" name="monthly_revenue_usd" tableColumnId="4"/>
      <queryTableField id="5" name="project_statu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BCCAE2A-734F-4244-8B91-86305725BFE5}" autoFormatId="16" applyNumberFormats="0" applyBorderFormats="0" applyFontFormats="0" applyPatternFormats="0" applyAlignmentFormats="0" applyWidthHeightFormats="0">
  <queryTableRefresh nextId="6">
    <queryTableFields count="5">
      <queryTableField id="1" name="expense_id" tableColumnId="1"/>
      <queryTableField id="2" name="expense_date" tableColumnId="2"/>
      <queryTableField id="3" name="project_id" tableColumnId="3"/>
      <queryTableField id="4" name="expense_category" tableColumnId="4"/>
      <queryTableField id="5" name="amount_usd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3D7F6ED-4F54-41F2-AC82-06D67859ED7C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timesheet_id" tableColumnId="1"/>
      <queryTableField id="2" name="work_date" tableColumnId="2"/>
      <queryTableField id="3" name="employee_id" tableColumnId="3"/>
      <queryTableField id="4" name="project_id" tableColumnId="4"/>
      <queryTableField id="5" name="hours_worked" tableColumnId="5"/>
      <queryTableField id="6" name="approval_status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7AE2F-B34E-4EA3-A486-FD8CDE9F886E}" name="employees" displayName="employees" ref="A1:E9" tableType="queryTable" totalsRowShown="0">
  <autoFilter ref="A1:E9" xr:uid="{8E17AE2F-B34E-4EA3-A486-FD8CDE9F886E}"/>
  <tableColumns count="5">
    <tableColumn id="1" xr3:uid="{EDC1174E-50C1-407D-A77A-87E5A0FBC767}" uniqueName="1" name="employee_id" queryTableFieldId="1" dataDxfId="15"/>
    <tableColumn id="2" xr3:uid="{49DDA557-D468-42CD-A713-BB4766DFC25C}" uniqueName="2" name="employee_name" queryTableFieldId="2" dataDxfId="14"/>
    <tableColumn id="3" xr3:uid="{395FB07F-6D43-4479-BDC2-C39EB9870A56}" uniqueName="3" name="department" queryTableFieldId="3" dataDxfId="13"/>
    <tableColumn id="4" xr3:uid="{B917D998-C295-405E-AD14-96C784DAB71D}" uniqueName="4" name="monthly_salary_usd" queryTableFieldId="4"/>
    <tableColumn id="5" xr3:uid="{40EC1CCC-16F8-49DA-B814-1318E66DB3AC}" uniqueName="5" name="hourly_rat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42033A-3743-4682-9BB5-5EC12EE72266}" name="projects" displayName="projects" ref="A1:E6" tableType="queryTable" totalsRowShown="0">
  <autoFilter ref="A1:E6" xr:uid="{7B42033A-3743-4682-9BB5-5EC12EE72266}"/>
  <tableColumns count="5">
    <tableColumn id="1" xr3:uid="{9CD51AF7-7B46-4027-B905-6FD460864877}" uniqueName="1" name="project_id" queryTableFieldId="1" dataDxfId="19"/>
    <tableColumn id="2" xr3:uid="{47D4F143-3CD5-4D1D-BAE1-ABF181DB8162}" uniqueName="2" name="project_name" queryTableFieldId="2" dataDxfId="18"/>
    <tableColumn id="3" xr3:uid="{C66E62BB-F4FE-4D9F-907E-BD5A425A8B9C}" uniqueName="3" name="client" queryTableFieldId="3" dataDxfId="17"/>
    <tableColumn id="4" xr3:uid="{B1D23EF6-0CBF-4A25-A973-72D035D838C8}" uniqueName="4" name="monthly_revenue_usd" queryTableFieldId="4"/>
    <tableColumn id="5" xr3:uid="{81F826AA-DE32-4B0A-B8F6-43F36E7BC935}" uniqueName="5" name="project_status" queryTableFieldId="5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10B26E-07D1-4465-A77F-A1F705C947D4}" name="expenses" displayName="expenses" ref="A1:E16" tableType="queryTable" totalsRowShown="0">
  <autoFilter ref="A1:E16" xr:uid="{4510B26E-07D1-4465-A77F-A1F705C947D4}"/>
  <tableColumns count="5">
    <tableColumn id="1" xr3:uid="{E0004BA3-9D4B-4EEA-B4A8-78FCD95142F0}" uniqueName="1" name="expense_id" queryTableFieldId="1" dataDxfId="12"/>
    <tableColumn id="2" xr3:uid="{5566E02D-3100-45F4-8E25-68458CAF4233}" uniqueName="2" name="expense_date" queryTableFieldId="2" dataDxfId="11"/>
    <tableColumn id="3" xr3:uid="{CD6A5D5E-D404-4DD7-B513-74B3AAFB850D}" uniqueName="3" name="project_id" queryTableFieldId="3" dataDxfId="10"/>
    <tableColumn id="4" xr3:uid="{AD927B96-12AC-4651-BDEE-A2B31A9E3F6C}" uniqueName="4" name="expense_category" queryTableFieldId="4" dataDxfId="9"/>
    <tableColumn id="5" xr3:uid="{4D3BC7ED-4D50-4E7C-9A57-03A511488C7E}" uniqueName="5" name="amount_usd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B89B8-7E6D-4447-A76F-A685E415283D}" name="timesheets" displayName="timesheets" ref="A1:J31" tableType="queryTable" totalsRowShown="0">
  <autoFilter ref="A1:J31" xr:uid="{0F3B89B8-7E6D-4447-A76F-A685E415283D}"/>
  <tableColumns count="10">
    <tableColumn id="1" xr3:uid="{A8E60936-AE8D-44A9-ADDC-95DAE073C02C}" uniqueName="1" name="timesheet_id" queryTableFieldId="1" dataDxfId="2"/>
    <tableColumn id="2" xr3:uid="{3663B0DF-7A81-4602-A53E-D0D5AB2C2099}" uniqueName="2" name="work_date" queryTableFieldId="2" dataDxfId="3"/>
    <tableColumn id="3" xr3:uid="{819FFE14-B7CC-451D-813D-FCA2A53B539D}" uniqueName="3" name="employee_id" queryTableFieldId="3" dataDxfId="1"/>
    <tableColumn id="4" xr3:uid="{247096C4-EF15-48DD-9AC8-E57497BEC3FE}" uniqueName="4" name="project_id" queryTableFieldId="4" dataDxfId="8"/>
    <tableColumn id="5" xr3:uid="{5E6F754A-95F4-49E8-800D-0486C1B6B660}" uniqueName="5" name="hours_worked" queryTableFieldId="5"/>
    <tableColumn id="6" xr3:uid="{9D4A9BF4-395D-4863-8B31-36E30D726980}" uniqueName="6" name="approval_status" queryTableFieldId="6" dataDxfId="7"/>
    <tableColumn id="7" xr3:uid="{4B107683-F63B-4ECE-8617-BB067E778187}" uniqueName="7" name="employee_name" queryTableFieldId="7" dataDxfId="6">
      <calculatedColumnFormula>_xlfn.XLOOKUP(timesheets[[#This Row],[employee_id]],employees[employee_id],employees[employee_name])</calculatedColumnFormula>
    </tableColumn>
    <tableColumn id="8" xr3:uid="{F08C72EC-5359-4968-AE83-E7D150CBF507}" uniqueName="8" name="hourly_rate" queryTableFieldId="8" dataDxfId="5">
      <calculatedColumnFormula>_xlfn.XLOOKUP(timesheets[[#This Row],[employee_id]],employees[employee_id],employees[hourly_rate])</calculatedColumnFormula>
    </tableColumn>
    <tableColumn id="9" xr3:uid="{5AA17437-A330-4F82-8C9F-A7D05E957986}" uniqueName="9" name="labor_cost" queryTableFieldId="9" dataDxfId="4">
      <calculatedColumnFormula>timesheets[[#This Row],[hourly_rate]]*timesheets[[#This Row],[hours_worked]]</calculatedColumnFormula>
    </tableColumn>
    <tableColumn id="10" xr3:uid="{00A8AF64-AE02-43CD-A3F2-290DA01CB092}" uniqueName="10" name="month" queryTableFieldId="10" dataDxfId="0">
      <calculatedColumnFormula>timesheets[[#This Row],[work_date]]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53D-49C5-47E3-AE0D-D85323F7E566}">
  <dimension ref="A1:E9"/>
  <sheetViews>
    <sheetView workbookViewId="0">
      <selection activeCell="C4" sqref="C4"/>
    </sheetView>
  </sheetViews>
  <sheetFormatPr defaultRowHeight="15" x14ac:dyDescent="0.25"/>
  <cols>
    <col min="1" max="1" width="15" bestFit="1" customWidth="1"/>
    <col min="2" max="2" width="18.7109375" bestFit="1" customWidth="1"/>
    <col min="3" max="3" width="19.7109375" bestFit="1" customWidth="1"/>
    <col min="4" max="4" width="21.28515625" bestFit="1" customWidth="1"/>
    <col min="5" max="5" width="13.5703125" bestFit="1" customWidth="1"/>
  </cols>
  <sheetData>
    <row r="1" spans="1:5" x14ac:dyDescent="0.25">
      <c r="A1" t="s">
        <v>2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5">
      <c r="A2" s="1" t="s">
        <v>8</v>
      </c>
      <c r="B2" s="1" t="s">
        <v>55</v>
      </c>
      <c r="C2" s="1" t="s">
        <v>56</v>
      </c>
      <c r="D2">
        <v>1800</v>
      </c>
      <c r="E2">
        <v>11.25</v>
      </c>
    </row>
    <row r="3" spans="1:5" x14ac:dyDescent="0.25">
      <c r="A3" s="1" t="s">
        <v>12</v>
      </c>
      <c r="B3" s="1" t="s">
        <v>57</v>
      </c>
      <c r="C3" s="1" t="s">
        <v>56</v>
      </c>
      <c r="D3">
        <v>1500</v>
      </c>
      <c r="E3">
        <v>9.375</v>
      </c>
    </row>
    <row r="4" spans="1:5" x14ac:dyDescent="0.25">
      <c r="A4" s="1" t="s">
        <v>18</v>
      </c>
      <c r="B4" s="1" t="s">
        <v>58</v>
      </c>
      <c r="C4" s="1" t="s">
        <v>59</v>
      </c>
      <c r="D4">
        <v>1300</v>
      </c>
      <c r="E4">
        <v>8.125</v>
      </c>
    </row>
    <row r="5" spans="1:5" x14ac:dyDescent="0.25">
      <c r="A5" s="1" t="s">
        <v>21</v>
      </c>
      <c r="B5" s="1" t="s">
        <v>60</v>
      </c>
      <c r="C5" s="1" t="s">
        <v>56</v>
      </c>
      <c r="D5">
        <v>1600</v>
      </c>
      <c r="E5">
        <v>10</v>
      </c>
    </row>
    <row r="6" spans="1:5" x14ac:dyDescent="0.25">
      <c r="A6" s="1" t="s">
        <v>27</v>
      </c>
      <c r="B6" s="1" t="s">
        <v>61</v>
      </c>
      <c r="C6" s="1" t="s">
        <v>62</v>
      </c>
      <c r="D6">
        <v>1200</v>
      </c>
      <c r="E6">
        <v>7.5</v>
      </c>
    </row>
    <row r="7" spans="1:5" x14ac:dyDescent="0.25">
      <c r="A7" s="1" t="s">
        <v>30</v>
      </c>
      <c r="B7" s="1" t="s">
        <v>63</v>
      </c>
      <c r="C7" s="1" t="s">
        <v>56</v>
      </c>
      <c r="D7">
        <v>1700</v>
      </c>
      <c r="E7">
        <v>10.625</v>
      </c>
    </row>
    <row r="8" spans="1:5" x14ac:dyDescent="0.25">
      <c r="A8" s="1" t="s">
        <v>36</v>
      </c>
      <c r="B8" s="1" t="s">
        <v>64</v>
      </c>
      <c r="C8" s="1" t="s">
        <v>65</v>
      </c>
      <c r="D8">
        <v>1900</v>
      </c>
      <c r="E8">
        <v>11.875</v>
      </c>
    </row>
    <row r="9" spans="1:5" x14ac:dyDescent="0.25">
      <c r="A9" s="1" t="s">
        <v>39</v>
      </c>
      <c r="B9" s="1" t="s">
        <v>66</v>
      </c>
      <c r="C9" s="1" t="s">
        <v>62</v>
      </c>
      <c r="D9">
        <v>1250</v>
      </c>
      <c r="E9">
        <v>7.8125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F078-F050-4FCC-BA9A-0468AD2DE65E}">
  <dimension ref="A1:E6"/>
  <sheetViews>
    <sheetView workbookViewId="0"/>
  </sheetViews>
  <sheetFormatPr defaultRowHeight="15" x14ac:dyDescent="0.25"/>
  <cols>
    <col min="1" max="1" width="12.28515625" bestFit="1" customWidth="1"/>
    <col min="2" max="2" width="15.7109375" bestFit="1" customWidth="1"/>
    <col min="3" max="3" width="13.140625" bestFit="1" customWidth="1"/>
    <col min="4" max="4" width="23.7109375" bestFit="1" customWidth="1"/>
    <col min="5" max="5" width="16" bestFit="1" customWidth="1"/>
  </cols>
  <sheetData>
    <row r="1" spans="1:5" x14ac:dyDescent="0.25">
      <c r="A1" t="s">
        <v>3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25">
      <c r="A2" s="1" t="s">
        <v>9</v>
      </c>
      <c r="B2" s="1" t="s">
        <v>71</v>
      </c>
      <c r="C2" s="1" t="s">
        <v>72</v>
      </c>
      <c r="D2">
        <v>12000</v>
      </c>
      <c r="E2" s="1" t="s">
        <v>73</v>
      </c>
    </row>
    <row r="3" spans="1:5" x14ac:dyDescent="0.25">
      <c r="A3" s="1" t="s">
        <v>19</v>
      </c>
      <c r="B3" s="1" t="s">
        <v>74</v>
      </c>
      <c r="C3" s="1" t="s">
        <v>75</v>
      </c>
      <c r="D3">
        <v>9500</v>
      </c>
      <c r="E3" s="1" t="s">
        <v>73</v>
      </c>
    </row>
    <row r="4" spans="1:5" x14ac:dyDescent="0.25">
      <c r="A4" s="1" t="s">
        <v>28</v>
      </c>
      <c r="B4" s="1" t="s">
        <v>76</v>
      </c>
      <c r="C4" s="1" t="s">
        <v>77</v>
      </c>
      <c r="D4">
        <v>8000</v>
      </c>
      <c r="E4" s="1" t="s">
        <v>73</v>
      </c>
    </row>
    <row r="5" spans="1:5" x14ac:dyDescent="0.25">
      <c r="A5" s="1" t="s">
        <v>37</v>
      </c>
      <c r="B5" s="1" t="s">
        <v>78</v>
      </c>
      <c r="C5" s="1" t="s">
        <v>79</v>
      </c>
      <c r="D5">
        <v>11000</v>
      </c>
      <c r="E5" s="1" t="s">
        <v>73</v>
      </c>
    </row>
    <row r="6" spans="1:5" x14ac:dyDescent="0.25">
      <c r="A6" s="1" t="s">
        <v>45</v>
      </c>
      <c r="B6" s="1" t="s">
        <v>80</v>
      </c>
      <c r="C6" s="1" t="s">
        <v>81</v>
      </c>
      <c r="D6">
        <v>7000</v>
      </c>
      <c r="E6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08D6-5FDA-4617-A4A0-101D025D53C9}">
  <dimension ref="A1:E16"/>
  <sheetViews>
    <sheetView workbookViewId="0">
      <selection activeCell="H8" sqref="H8"/>
    </sheetView>
  </sheetViews>
  <sheetFormatPr defaultRowHeight="15" x14ac:dyDescent="0.25"/>
  <cols>
    <col min="1" max="1" width="13.5703125" bestFit="1" customWidth="1"/>
    <col min="2" max="2" width="16" bestFit="1" customWidth="1"/>
    <col min="3" max="3" width="12.28515625" bestFit="1" customWidth="1"/>
    <col min="4" max="4" width="20.5703125" bestFit="1" customWidth="1"/>
    <col min="5" max="5" width="14.28515625" bestFit="1" customWidth="1"/>
  </cols>
  <sheetData>
    <row r="1" spans="1:5" x14ac:dyDescent="0.25">
      <c r="A1" t="s">
        <v>82</v>
      </c>
      <c r="B1" t="s">
        <v>83</v>
      </c>
      <c r="C1" t="s">
        <v>3</v>
      </c>
      <c r="D1" t="s">
        <v>84</v>
      </c>
      <c r="E1" t="s">
        <v>85</v>
      </c>
    </row>
    <row r="2" spans="1:5" x14ac:dyDescent="0.25">
      <c r="A2" s="1" t="s">
        <v>86</v>
      </c>
      <c r="B2" s="1" t="s">
        <v>7</v>
      </c>
      <c r="C2" s="1" t="s">
        <v>9</v>
      </c>
      <c r="D2" s="1" t="s">
        <v>87</v>
      </c>
      <c r="E2">
        <v>420</v>
      </c>
    </row>
    <row r="3" spans="1:5" x14ac:dyDescent="0.25">
      <c r="A3" s="1" t="s">
        <v>88</v>
      </c>
      <c r="B3" s="1" t="s">
        <v>7</v>
      </c>
      <c r="C3" s="1" t="s">
        <v>9</v>
      </c>
      <c r="D3" s="1" t="s">
        <v>89</v>
      </c>
      <c r="E3">
        <v>450</v>
      </c>
    </row>
    <row r="4" spans="1:5" x14ac:dyDescent="0.25">
      <c r="A4" s="1" t="s">
        <v>90</v>
      </c>
      <c r="B4" s="1" t="s">
        <v>7</v>
      </c>
      <c r="C4" s="1" t="s">
        <v>9</v>
      </c>
      <c r="D4" s="1" t="s">
        <v>87</v>
      </c>
      <c r="E4">
        <v>470</v>
      </c>
    </row>
    <row r="5" spans="1:5" x14ac:dyDescent="0.25">
      <c r="A5" s="1" t="s">
        <v>91</v>
      </c>
      <c r="B5" s="1" t="s">
        <v>7</v>
      </c>
      <c r="C5" s="1" t="s">
        <v>19</v>
      </c>
      <c r="D5" s="1" t="s">
        <v>89</v>
      </c>
      <c r="E5">
        <v>250</v>
      </c>
    </row>
    <row r="6" spans="1:5" x14ac:dyDescent="0.25">
      <c r="A6" s="1" t="s">
        <v>92</v>
      </c>
      <c r="B6" s="1" t="s">
        <v>7</v>
      </c>
      <c r="C6" s="1" t="s">
        <v>19</v>
      </c>
      <c r="D6" s="1" t="s">
        <v>87</v>
      </c>
      <c r="E6">
        <v>270</v>
      </c>
    </row>
    <row r="7" spans="1:5" x14ac:dyDescent="0.25">
      <c r="A7" s="1" t="s">
        <v>93</v>
      </c>
      <c r="B7" s="1" t="s">
        <v>7</v>
      </c>
      <c r="C7" s="1" t="s">
        <v>19</v>
      </c>
      <c r="D7" s="1" t="s">
        <v>89</v>
      </c>
      <c r="E7">
        <v>290</v>
      </c>
    </row>
    <row r="8" spans="1:5" x14ac:dyDescent="0.25">
      <c r="A8" s="1" t="s">
        <v>94</v>
      </c>
      <c r="B8" s="1" t="s">
        <v>7</v>
      </c>
      <c r="C8" s="1" t="s">
        <v>28</v>
      </c>
      <c r="D8" s="1" t="s">
        <v>87</v>
      </c>
      <c r="E8">
        <v>310</v>
      </c>
    </row>
    <row r="9" spans="1:5" x14ac:dyDescent="0.25">
      <c r="A9" s="1" t="s">
        <v>95</v>
      </c>
      <c r="B9" s="1" t="s">
        <v>7</v>
      </c>
      <c r="C9" s="1" t="s">
        <v>28</v>
      </c>
      <c r="D9" s="1" t="s">
        <v>89</v>
      </c>
      <c r="E9">
        <v>330</v>
      </c>
    </row>
    <row r="10" spans="1:5" x14ac:dyDescent="0.25">
      <c r="A10" s="1" t="s">
        <v>96</v>
      </c>
      <c r="B10" s="1" t="s">
        <v>7</v>
      </c>
      <c r="C10" s="1" t="s">
        <v>28</v>
      </c>
      <c r="D10" s="1" t="s">
        <v>87</v>
      </c>
      <c r="E10">
        <v>350</v>
      </c>
    </row>
    <row r="11" spans="1:5" x14ac:dyDescent="0.25">
      <c r="A11" s="1" t="s">
        <v>97</v>
      </c>
      <c r="B11" s="1" t="s">
        <v>7</v>
      </c>
      <c r="C11" s="1" t="s">
        <v>37</v>
      </c>
      <c r="D11" s="1" t="s">
        <v>89</v>
      </c>
      <c r="E11">
        <v>480</v>
      </c>
    </row>
    <row r="12" spans="1:5" x14ac:dyDescent="0.25">
      <c r="A12" s="1" t="s">
        <v>98</v>
      </c>
      <c r="B12" s="1" t="s">
        <v>7</v>
      </c>
      <c r="C12" s="1" t="s">
        <v>37</v>
      </c>
      <c r="D12" s="1" t="s">
        <v>87</v>
      </c>
      <c r="E12">
        <v>510</v>
      </c>
    </row>
    <row r="13" spans="1:5" x14ac:dyDescent="0.25">
      <c r="A13" s="1" t="s">
        <v>99</v>
      </c>
      <c r="B13" s="1" t="s">
        <v>7</v>
      </c>
      <c r="C13" s="1" t="s">
        <v>37</v>
      </c>
      <c r="D13" s="1" t="s">
        <v>89</v>
      </c>
      <c r="E13">
        <v>530</v>
      </c>
    </row>
    <row r="14" spans="1:5" x14ac:dyDescent="0.25">
      <c r="A14" s="1" t="s">
        <v>100</v>
      </c>
      <c r="B14" s="1" t="s">
        <v>7</v>
      </c>
      <c r="C14" s="1" t="s">
        <v>45</v>
      </c>
      <c r="D14" s="1" t="s">
        <v>87</v>
      </c>
      <c r="E14">
        <v>200</v>
      </c>
    </row>
    <row r="15" spans="1:5" x14ac:dyDescent="0.25">
      <c r="A15" s="1" t="s">
        <v>101</v>
      </c>
      <c r="B15" s="1" t="s">
        <v>7</v>
      </c>
      <c r="C15" s="1" t="s">
        <v>45</v>
      </c>
      <c r="D15" s="1" t="s">
        <v>89</v>
      </c>
      <c r="E15">
        <v>220</v>
      </c>
    </row>
    <row r="16" spans="1:5" x14ac:dyDescent="0.25">
      <c r="A16" s="1" t="s">
        <v>102</v>
      </c>
      <c r="B16" s="1" t="s">
        <v>7</v>
      </c>
      <c r="C16" s="1" t="s">
        <v>45</v>
      </c>
      <c r="D16" s="1" t="s">
        <v>87</v>
      </c>
      <c r="E16">
        <v>240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E6D9-F064-463F-A86E-37175AB71107}">
  <dimension ref="A1:J31"/>
  <sheetViews>
    <sheetView workbookViewId="0">
      <selection activeCell="I3" sqref="I3"/>
    </sheetView>
  </sheetViews>
  <sheetFormatPr defaultRowHeight="15" x14ac:dyDescent="0.25"/>
  <cols>
    <col min="1" max="1" width="15.140625" bestFit="1" customWidth="1"/>
    <col min="2" max="2" width="12.7109375" style="2" bestFit="1" customWidth="1"/>
    <col min="3" max="3" width="15" bestFit="1" customWidth="1"/>
    <col min="4" max="4" width="12.28515625" bestFit="1" customWidth="1"/>
    <col min="5" max="5" width="16.140625" bestFit="1" customWidth="1"/>
    <col min="6" max="6" width="17.42578125" bestFit="1" customWidth="1"/>
    <col min="7" max="7" width="18.7109375" bestFit="1" customWidth="1"/>
    <col min="8" max="8" width="13.5703125" bestFit="1" customWidth="1"/>
    <col min="9" max="9" width="12.42578125" bestFit="1" customWidth="1"/>
    <col min="10" max="10" width="9.140625" style="3"/>
  </cols>
  <sheetData>
    <row r="1" spans="1:10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51</v>
      </c>
      <c r="H1" t="s">
        <v>54</v>
      </c>
      <c r="I1" t="s">
        <v>103</v>
      </c>
      <c r="J1" s="3" t="s">
        <v>104</v>
      </c>
    </row>
    <row r="2" spans="1:10" x14ac:dyDescent="0.25">
      <c r="A2" s="1" t="s">
        <v>6</v>
      </c>
      <c r="B2" s="2">
        <v>46205</v>
      </c>
      <c r="C2" s="1" t="s">
        <v>8</v>
      </c>
      <c r="D2" s="1" t="s">
        <v>9</v>
      </c>
      <c r="E2">
        <v>120</v>
      </c>
      <c r="F2" s="1" t="s">
        <v>10</v>
      </c>
      <c r="G2" s="1" t="str">
        <f>_xlfn.XLOOKUP(timesheets[[#This Row],[employee_id]],employees[employee_id],employees[employee_name])</f>
        <v>Amina Rahman</v>
      </c>
      <c r="H2" s="1">
        <f>_xlfn.XLOOKUP(timesheets[[#This Row],[employee_id]],employees[employee_id],employees[hourly_rate])</f>
        <v>11.25</v>
      </c>
      <c r="I2" s="1">
        <f>timesheets[[#This Row],[hourly_rate]]*timesheets[[#This Row],[hours_worked]]</f>
        <v>1350</v>
      </c>
      <c r="J2" s="3">
        <f>timesheets[[#This Row],[work_date]]</f>
        <v>46205</v>
      </c>
    </row>
    <row r="3" spans="1:10" x14ac:dyDescent="0.25">
      <c r="A3" s="1" t="s">
        <v>11</v>
      </c>
      <c r="B3" s="2">
        <v>46208</v>
      </c>
      <c r="C3" s="1" t="s">
        <v>12</v>
      </c>
      <c r="D3" s="1" t="s">
        <v>9</v>
      </c>
      <c r="E3">
        <v>100</v>
      </c>
      <c r="F3" s="1" t="s">
        <v>10</v>
      </c>
      <c r="G3" s="1" t="str">
        <f>_xlfn.XLOOKUP(timesheets[[#This Row],[employee_id]],employees[employee_id],employees[employee_name])</f>
        <v>Tanvir Hasan</v>
      </c>
      <c r="H3" s="1">
        <f>_xlfn.XLOOKUP(timesheets[[#This Row],[employee_id]],employees[employee_id],employees[hourly_rate])</f>
        <v>9.375</v>
      </c>
      <c r="I3" s="1">
        <f>timesheets[[#This Row],[hourly_rate]]*timesheets[[#This Row],[hours_worked]]</f>
        <v>937.5</v>
      </c>
      <c r="J3" s="3">
        <f>timesheets[[#This Row],[work_date]]</f>
        <v>46208</v>
      </c>
    </row>
    <row r="4" spans="1:10" x14ac:dyDescent="0.25">
      <c r="A4" s="1" t="s">
        <v>13</v>
      </c>
      <c r="B4" s="2">
        <v>46236</v>
      </c>
      <c r="C4" s="1" t="s">
        <v>8</v>
      </c>
      <c r="D4" s="1" t="s">
        <v>9</v>
      </c>
      <c r="E4">
        <v>125</v>
      </c>
      <c r="F4" s="1" t="s">
        <v>10</v>
      </c>
      <c r="G4" s="1" t="str">
        <f>_xlfn.XLOOKUP(timesheets[[#This Row],[employee_id]],employees[employee_id],employees[employee_name])</f>
        <v>Amina Rahman</v>
      </c>
      <c r="H4" s="1">
        <f>_xlfn.XLOOKUP(timesheets[[#This Row],[employee_id]],employees[employee_id],employees[hourly_rate])</f>
        <v>11.25</v>
      </c>
      <c r="I4" s="1">
        <f>timesheets[[#This Row],[hourly_rate]]*timesheets[[#This Row],[hours_worked]]</f>
        <v>1406.25</v>
      </c>
      <c r="J4" s="3">
        <f>timesheets[[#This Row],[work_date]]</f>
        <v>46236</v>
      </c>
    </row>
    <row r="5" spans="1:10" x14ac:dyDescent="0.25">
      <c r="A5" s="1" t="s">
        <v>14</v>
      </c>
      <c r="B5" s="2">
        <v>46238</v>
      </c>
      <c r="C5" s="1" t="s">
        <v>12</v>
      </c>
      <c r="D5" s="1" t="s">
        <v>9</v>
      </c>
      <c r="E5">
        <v>105</v>
      </c>
      <c r="F5" s="1" t="s">
        <v>10</v>
      </c>
      <c r="G5" s="1" t="str">
        <f>_xlfn.XLOOKUP(timesheets[[#This Row],[employee_id]],employees[employee_id],employees[employee_name])</f>
        <v>Tanvir Hasan</v>
      </c>
      <c r="H5" s="1">
        <f>_xlfn.XLOOKUP(timesheets[[#This Row],[employee_id]],employees[employee_id],employees[hourly_rate])</f>
        <v>9.375</v>
      </c>
      <c r="I5" s="1">
        <f>timesheets[[#This Row],[hourly_rate]]*timesheets[[#This Row],[hours_worked]]</f>
        <v>984.375</v>
      </c>
      <c r="J5" s="3">
        <f>timesheets[[#This Row],[work_date]]</f>
        <v>46238</v>
      </c>
    </row>
    <row r="6" spans="1:10" x14ac:dyDescent="0.25">
      <c r="A6" s="1" t="s">
        <v>15</v>
      </c>
      <c r="B6" s="2">
        <v>46267</v>
      </c>
      <c r="C6" s="1" t="s">
        <v>8</v>
      </c>
      <c r="D6" s="1" t="s">
        <v>9</v>
      </c>
      <c r="E6">
        <v>130</v>
      </c>
      <c r="F6" s="1" t="s">
        <v>10</v>
      </c>
      <c r="G6" s="1" t="str">
        <f>_xlfn.XLOOKUP(timesheets[[#This Row],[employee_id]],employees[employee_id],employees[employee_name])</f>
        <v>Amina Rahman</v>
      </c>
      <c r="H6" s="1">
        <f>_xlfn.XLOOKUP(timesheets[[#This Row],[employee_id]],employees[employee_id],employees[hourly_rate])</f>
        <v>11.25</v>
      </c>
      <c r="I6" s="1">
        <f>timesheets[[#This Row],[hourly_rate]]*timesheets[[#This Row],[hours_worked]]</f>
        <v>1462.5</v>
      </c>
      <c r="J6" s="3">
        <f>timesheets[[#This Row],[work_date]]</f>
        <v>46267</v>
      </c>
    </row>
    <row r="7" spans="1:10" x14ac:dyDescent="0.25">
      <c r="A7" s="1" t="s">
        <v>16</v>
      </c>
      <c r="B7" s="2">
        <v>46269</v>
      </c>
      <c r="C7" s="1" t="s">
        <v>12</v>
      </c>
      <c r="D7" s="1" t="s">
        <v>9</v>
      </c>
      <c r="E7">
        <v>110</v>
      </c>
      <c r="F7" s="1" t="s">
        <v>10</v>
      </c>
      <c r="G7" s="1" t="str">
        <f>_xlfn.XLOOKUP(timesheets[[#This Row],[employee_id]],employees[employee_id],employees[employee_name])</f>
        <v>Tanvir Hasan</v>
      </c>
      <c r="H7" s="1">
        <f>_xlfn.XLOOKUP(timesheets[[#This Row],[employee_id]],employees[employee_id],employees[hourly_rate])</f>
        <v>9.375</v>
      </c>
      <c r="I7" s="1">
        <f>timesheets[[#This Row],[hourly_rate]]*timesheets[[#This Row],[hours_worked]]</f>
        <v>1031.25</v>
      </c>
      <c r="J7" s="3">
        <f>timesheets[[#This Row],[work_date]]</f>
        <v>46269</v>
      </c>
    </row>
    <row r="8" spans="1:10" x14ac:dyDescent="0.25">
      <c r="A8" s="1" t="s">
        <v>17</v>
      </c>
      <c r="B8" s="2">
        <v>46211</v>
      </c>
      <c r="C8" s="1" t="s">
        <v>18</v>
      </c>
      <c r="D8" s="1" t="s">
        <v>19</v>
      </c>
      <c r="E8">
        <v>90</v>
      </c>
      <c r="F8" s="1" t="s">
        <v>10</v>
      </c>
      <c r="G8" s="1" t="str">
        <f>_xlfn.XLOOKUP(timesheets[[#This Row],[employee_id]],employees[employee_id],employees[employee_name])</f>
        <v>Nadia Islam</v>
      </c>
      <c r="H8" s="1">
        <f>_xlfn.XLOOKUP(timesheets[[#This Row],[employee_id]],employees[employee_id],employees[hourly_rate])</f>
        <v>8.125</v>
      </c>
      <c r="I8" s="1">
        <f>timesheets[[#This Row],[hourly_rate]]*timesheets[[#This Row],[hours_worked]]</f>
        <v>731.25</v>
      </c>
      <c r="J8" s="3">
        <f>timesheets[[#This Row],[work_date]]</f>
        <v>46211</v>
      </c>
    </row>
    <row r="9" spans="1:10" x14ac:dyDescent="0.25">
      <c r="A9" s="1" t="s">
        <v>20</v>
      </c>
      <c r="B9" s="2">
        <v>46213</v>
      </c>
      <c r="C9" s="1" t="s">
        <v>21</v>
      </c>
      <c r="D9" s="1" t="s">
        <v>19</v>
      </c>
      <c r="E9">
        <v>110</v>
      </c>
      <c r="F9" s="1" t="s">
        <v>10</v>
      </c>
      <c r="G9" s="1" t="str">
        <f>_xlfn.XLOOKUP(timesheets[[#This Row],[employee_id]],employees[employee_id],employees[employee_name])</f>
        <v>Rakib Ahmed</v>
      </c>
      <c r="H9" s="1">
        <f>_xlfn.XLOOKUP(timesheets[[#This Row],[employee_id]],employees[employee_id],employees[hourly_rate])</f>
        <v>10</v>
      </c>
      <c r="I9" s="1">
        <f>timesheets[[#This Row],[hourly_rate]]*timesheets[[#This Row],[hours_worked]]</f>
        <v>1100</v>
      </c>
      <c r="J9" s="3">
        <f>timesheets[[#This Row],[work_date]]</f>
        <v>46213</v>
      </c>
    </row>
    <row r="10" spans="1:10" x14ac:dyDescent="0.25">
      <c r="A10" s="1" t="s">
        <v>22</v>
      </c>
      <c r="B10" s="2">
        <v>46240</v>
      </c>
      <c r="C10" s="1" t="s">
        <v>18</v>
      </c>
      <c r="D10" s="1" t="s">
        <v>19</v>
      </c>
      <c r="E10">
        <v>95</v>
      </c>
      <c r="F10" s="1" t="s">
        <v>10</v>
      </c>
      <c r="G10" s="1" t="str">
        <f>_xlfn.XLOOKUP(timesheets[[#This Row],[employee_id]],employees[employee_id],employees[employee_name])</f>
        <v>Nadia Islam</v>
      </c>
      <c r="H10" s="1">
        <f>_xlfn.XLOOKUP(timesheets[[#This Row],[employee_id]],employees[employee_id],employees[hourly_rate])</f>
        <v>8.125</v>
      </c>
      <c r="I10" s="1">
        <f>timesheets[[#This Row],[hourly_rate]]*timesheets[[#This Row],[hours_worked]]</f>
        <v>771.875</v>
      </c>
      <c r="J10" s="3">
        <f>timesheets[[#This Row],[work_date]]</f>
        <v>46240</v>
      </c>
    </row>
    <row r="11" spans="1:10" x14ac:dyDescent="0.25">
      <c r="A11" s="1" t="s">
        <v>23</v>
      </c>
      <c r="B11" s="2">
        <v>46242</v>
      </c>
      <c r="C11" s="1" t="s">
        <v>21</v>
      </c>
      <c r="D11" s="1" t="s">
        <v>19</v>
      </c>
      <c r="E11">
        <v>115</v>
      </c>
      <c r="F11" s="1" t="s">
        <v>10</v>
      </c>
      <c r="G11" s="1" t="str">
        <f>_xlfn.XLOOKUP(timesheets[[#This Row],[employee_id]],employees[employee_id],employees[employee_name])</f>
        <v>Rakib Ahmed</v>
      </c>
      <c r="H11" s="1">
        <f>_xlfn.XLOOKUP(timesheets[[#This Row],[employee_id]],employees[employee_id],employees[hourly_rate])</f>
        <v>10</v>
      </c>
      <c r="I11" s="1">
        <f>timesheets[[#This Row],[hourly_rate]]*timesheets[[#This Row],[hours_worked]]</f>
        <v>1150</v>
      </c>
      <c r="J11" s="3">
        <f>timesheets[[#This Row],[work_date]]</f>
        <v>46242</v>
      </c>
    </row>
    <row r="12" spans="1:10" x14ac:dyDescent="0.25">
      <c r="A12" s="1" t="s">
        <v>24</v>
      </c>
      <c r="B12" s="2">
        <v>46271</v>
      </c>
      <c r="C12" s="1" t="s">
        <v>18</v>
      </c>
      <c r="D12" s="1" t="s">
        <v>19</v>
      </c>
      <c r="E12">
        <v>100</v>
      </c>
      <c r="F12" s="1" t="s">
        <v>10</v>
      </c>
      <c r="G12" s="1" t="str">
        <f>_xlfn.XLOOKUP(timesheets[[#This Row],[employee_id]],employees[employee_id],employees[employee_name])</f>
        <v>Nadia Islam</v>
      </c>
      <c r="H12" s="1">
        <f>_xlfn.XLOOKUP(timesheets[[#This Row],[employee_id]],employees[employee_id],employees[hourly_rate])</f>
        <v>8.125</v>
      </c>
      <c r="I12" s="1">
        <f>timesheets[[#This Row],[hourly_rate]]*timesheets[[#This Row],[hours_worked]]</f>
        <v>812.5</v>
      </c>
      <c r="J12" s="3">
        <f>timesheets[[#This Row],[work_date]]</f>
        <v>46271</v>
      </c>
    </row>
    <row r="13" spans="1:10" x14ac:dyDescent="0.25">
      <c r="A13" s="1" t="s">
        <v>25</v>
      </c>
      <c r="B13" s="2">
        <v>46273</v>
      </c>
      <c r="C13" s="1" t="s">
        <v>21</v>
      </c>
      <c r="D13" s="1" t="s">
        <v>19</v>
      </c>
      <c r="E13">
        <v>120</v>
      </c>
      <c r="F13" s="1" t="s">
        <v>10</v>
      </c>
      <c r="G13" s="1" t="str">
        <f>_xlfn.XLOOKUP(timesheets[[#This Row],[employee_id]],employees[employee_id],employees[employee_name])</f>
        <v>Rakib Ahmed</v>
      </c>
      <c r="H13" s="1">
        <f>_xlfn.XLOOKUP(timesheets[[#This Row],[employee_id]],employees[employee_id],employees[hourly_rate])</f>
        <v>10</v>
      </c>
      <c r="I13" s="1">
        <f>timesheets[[#This Row],[hourly_rate]]*timesheets[[#This Row],[hours_worked]]</f>
        <v>1200</v>
      </c>
      <c r="J13" s="3">
        <f>timesheets[[#This Row],[work_date]]</f>
        <v>46273</v>
      </c>
    </row>
    <row r="14" spans="1:10" x14ac:dyDescent="0.25">
      <c r="A14" s="1" t="s">
        <v>26</v>
      </c>
      <c r="B14" s="2">
        <v>46215</v>
      </c>
      <c r="C14" s="1" t="s">
        <v>27</v>
      </c>
      <c r="D14" s="1" t="s">
        <v>28</v>
      </c>
      <c r="E14">
        <v>100</v>
      </c>
      <c r="F14" s="1" t="s">
        <v>10</v>
      </c>
      <c r="G14" s="1" t="str">
        <f>_xlfn.XLOOKUP(timesheets[[#This Row],[employee_id]],employees[employee_id],employees[employee_name])</f>
        <v>Farhana Akter</v>
      </c>
      <c r="H14" s="1">
        <f>_xlfn.XLOOKUP(timesheets[[#This Row],[employee_id]],employees[employee_id],employees[hourly_rate])</f>
        <v>7.5</v>
      </c>
      <c r="I14" s="1">
        <f>timesheets[[#This Row],[hourly_rate]]*timesheets[[#This Row],[hours_worked]]</f>
        <v>750</v>
      </c>
      <c r="J14" s="3">
        <f>timesheets[[#This Row],[work_date]]</f>
        <v>46215</v>
      </c>
    </row>
    <row r="15" spans="1:10" x14ac:dyDescent="0.25">
      <c r="A15" s="1" t="s">
        <v>29</v>
      </c>
      <c r="B15" s="2">
        <v>46217</v>
      </c>
      <c r="C15" s="1" t="s">
        <v>30</v>
      </c>
      <c r="D15" s="1" t="s">
        <v>28</v>
      </c>
      <c r="E15">
        <v>130</v>
      </c>
      <c r="F15" s="1" t="s">
        <v>10</v>
      </c>
      <c r="G15" s="1" t="str">
        <f>_xlfn.XLOOKUP(timesheets[[#This Row],[employee_id]],employees[employee_id],employees[employee_name])</f>
        <v>Sajid Karim</v>
      </c>
      <c r="H15" s="1">
        <f>_xlfn.XLOOKUP(timesheets[[#This Row],[employee_id]],employees[employee_id],employees[hourly_rate])</f>
        <v>10.625</v>
      </c>
      <c r="I15" s="1">
        <f>timesheets[[#This Row],[hourly_rate]]*timesheets[[#This Row],[hours_worked]]</f>
        <v>1381.25</v>
      </c>
      <c r="J15" s="3">
        <f>timesheets[[#This Row],[work_date]]</f>
        <v>46217</v>
      </c>
    </row>
    <row r="16" spans="1:10" x14ac:dyDescent="0.25">
      <c r="A16" s="1" t="s">
        <v>31</v>
      </c>
      <c r="B16" s="2">
        <v>46244</v>
      </c>
      <c r="C16" s="1" t="s">
        <v>27</v>
      </c>
      <c r="D16" s="1" t="s">
        <v>28</v>
      </c>
      <c r="E16">
        <v>105</v>
      </c>
      <c r="F16" s="1" t="s">
        <v>10</v>
      </c>
      <c r="G16" s="1" t="str">
        <f>_xlfn.XLOOKUP(timesheets[[#This Row],[employee_id]],employees[employee_id],employees[employee_name])</f>
        <v>Farhana Akter</v>
      </c>
      <c r="H16" s="1">
        <f>_xlfn.XLOOKUP(timesheets[[#This Row],[employee_id]],employees[employee_id],employees[hourly_rate])</f>
        <v>7.5</v>
      </c>
      <c r="I16" s="1">
        <f>timesheets[[#This Row],[hourly_rate]]*timesheets[[#This Row],[hours_worked]]</f>
        <v>787.5</v>
      </c>
      <c r="J16" s="3">
        <f>timesheets[[#This Row],[work_date]]</f>
        <v>46244</v>
      </c>
    </row>
    <row r="17" spans="1:10" x14ac:dyDescent="0.25">
      <c r="A17" s="1" t="s">
        <v>32</v>
      </c>
      <c r="B17" s="2">
        <v>46246</v>
      </c>
      <c r="C17" s="1" t="s">
        <v>30</v>
      </c>
      <c r="D17" s="1" t="s">
        <v>28</v>
      </c>
      <c r="E17">
        <v>135</v>
      </c>
      <c r="F17" s="1" t="s">
        <v>10</v>
      </c>
      <c r="G17" s="1" t="str">
        <f>_xlfn.XLOOKUP(timesheets[[#This Row],[employee_id]],employees[employee_id],employees[employee_name])</f>
        <v>Sajid Karim</v>
      </c>
      <c r="H17" s="1">
        <f>_xlfn.XLOOKUP(timesheets[[#This Row],[employee_id]],employees[employee_id],employees[hourly_rate])</f>
        <v>10.625</v>
      </c>
      <c r="I17" s="1">
        <f>timesheets[[#This Row],[hourly_rate]]*timesheets[[#This Row],[hours_worked]]</f>
        <v>1434.375</v>
      </c>
      <c r="J17" s="3">
        <f>timesheets[[#This Row],[work_date]]</f>
        <v>46246</v>
      </c>
    </row>
    <row r="18" spans="1:10" x14ac:dyDescent="0.25">
      <c r="A18" s="1" t="s">
        <v>33</v>
      </c>
      <c r="B18" s="2">
        <v>46275</v>
      </c>
      <c r="C18" s="1" t="s">
        <v>27</v>
      </c>
      <c r="D18" s="1" t="s">
        <v>28</v>
      </c>
      <c r="E18">
        <v>110</v>
      </c>
      <c r="F18" s="1" t="s">
        <v>10</v>
      </c>
      <c r="G18" s="1" t="str">
        <f>_xlfn.XLOOKUP(timesheets[[#This Row],[employee_id]],employees[employee_id],employees[employee_name])</f>
        <v>Farhana Akter</v>
      </c>
      <c r="H18" s="1">
        <f>_xlfn.XLOOKUP(timesheets[[#This Row],[employee_id]],employees[employee_id],employees[hourly_rate])</f>
        <v>7.5</v>
      </c>
      <c r="I18" s="1">
        <f>timesheets[[#This Row],[hourly_rate]]*timesheets[[#This Row],[hours_worked]]</f>
        <v>825</v>
      </c>
      <c r="J18" s="3">
        <f>timesheets[[#This Row],[work_date]]</f>
        <v>46275</v>
      </c>
    </row>
    <row r="19" spans="1:10" x14ac:dyDescent="0.25">
      <c r="A19" s="1" t="s">
        <v>34</v>
      </c>
      <c r="B19" s="2">
        <v>46277</v>
      </c>
      <c r="C19" s="1" t="s">
        <v>30</v>
      </c>
      <c r="D19" s="1" t="s">
        <v>28</v>
      </c>
      <c r="E19">
        <v>140</v>
      </c>
      <c r="F19" s="1" t="s">
        <v>10</v>
      </c>
      <c r="G19" s="1" t="str">
        <f>_xlfn.XLOOKUP(timesheets[[#This Row],[employee_id]],employees[employee_id],employees[employee_name])</f>
        <v>Sajid Karim</v>
      </c>
      <c r="H19" s="1">
        <f>_xlfn.XLOOKUP(timesheets[[#This Row],[employee_id]],employees[employee_id],employees[hourly_rate])</f>
        <v>10.625</v>
      </c>
      <c r="I19" s="1">
        <f>timesheets[[#This Row],[hourly_rate]]*timesheets[[#This Row],[hours_worked]]</f>
        <v>1487.5</v>
      </c>
      <c r="J19" s="3">
        <f>timesheets[[#This Row],[work_date]]</f>
        <v>46277</v>
      </c>
    </row>
    <row r="20" spans="1:10" x14ac:dyDescent="0.25">
      <c r="A20" s="1" t="s">
        <v>35</v>
      </c>
      <c r="B20" s="2">
        <v>46219</v>
      </c>
      <c r="C20" s="1" t="s">
        <v>36</v>
      </c>
      <c r="D20" s="1" t="s">
        <v>37</v>
      </c>
      <c r="E20">
        <v>100</v>
      </c>
      <c r="F20" s="1" t="s">
        <v>10</v>
      </c>
      <c r="G20" s="1" t="str">
        <f>_xlfn.XLOOKUP(timesheets[[#This Row],[employee_id]],employees[employee_id],employees[employee_name])</f>
        <v>Mehedi Chowdhury</v>
      </c>
      <c r="H20" s="1">
        <f>_xlfn.XLOOKUP(timesheets[[#This Row],[employee_id]],employees[employee_id],employees[hourly_rate])</f>
        <v>11.875</v>
      </c>
      <c r="I20" s="1">
        <f>timesheets[[#This Row],[hourly_rate]]*timesheets[[#This Row],[hours_worked]]</f>
        <v>1187.5</v>
      </c>
      <c r="J20" s="3">
        <f>timesheets[[#This Row],[work_date]]</f>
        <v>46219</v>
      </c>
    </row>
    <row r="21" spans="1:10" x14ac:dyDescent="0.25">
      <c r="A21" s="1" t="s">
        <v>38</v>
      </c>
      <c r="B21" s="2">
        <v>46221</v>
      </c>
      <c r="C21" s="1" t="s">
        <v>39</v>
      </c>
      <c r="D21" s="1" t="s">
        <v>37</v>
      </c>
      <c r="E21">
        <v>90</v>
      </c>
      <c r="F21" s="1" t="s">
        <v>10</v>
      </c>
      <c r="G21" s="1" t="str">
        <f>_xlfn.XLOOKUP(timesheets[[#This Row],[employee_id]],employees[employee_id],employees[employee_name])</f>
        <v>Jannat Sultana</v>
      </c>
      <c r="H21" s="1">
        <f>_xlfn.XLOOKUP(timesheets[[#This Row],[employee_id]],employees[employee_id],employees[hourly_rate])</f>
        <v>7.8125</v>
      </c>
      <c r="I21" s="1">
        <f>timesheets[[#This Row],[hourly_rate]]*timesheets[[#This Row],[hours_worked]]</f>
        <v>703.125</v>
      </c>
      <c r="J21" s="3">
        <f>timesheets[[#This Row],[work_date]]</f>
        <v>46221</v>
      </c>
    </row>
    <row r="22" spans="1:10" x14ac:dyDescent="0.25">
      <c r="A22" s="1" t="s">
        <v>40</v>
      </c>
      <c r="B22" s="2">
        <v>46248</v>
      </c>
      <c r="C22" s="1" t="s">
        <v>36</v>
      </c>
      <c r="D22" s="1" t="s">
        <v>37</v>
      </c>
      <c r="E22">
        <v>105</v>
      </c>
      <c r="F22" s="1" t="s">
        <v>10</v>
      </c>
      <c r="G22" s="1" t="str">
        <f>_xlfn.XLOOKUP(timesheets[[#This Row],[employee_id]],employees[employee_id],employees[employee_name])</f>
        <v>Mehedi Chowdhury</v>
      </c>
      <c r="H22" s="1">
        <f>_xlfn.XLOOKUP(timesheets[[#This Row],[employee_id]],employees[employee_id],employees[hourly_rate])</f>
        <v>11.875</v>
      </c>
      <c r="I22" s="1">
        <f>timesheets[[#This Row],[hourly_rate]]*timesheets[[#This Row],[hours_worked]]</f>
        <v>1246.875</v>
      </c>
      <c r="J22" s="3">
        <f>timesheets[[#This Row],[work_date]]</f>
        <v>46248</v>
      </c>
    </row>
    <row r="23" spans="1:10" x14ac:dyDescent="0.25">
      <c r="A23" s="1" t="s">
        <v>41</v>
      </c>
      <c r="B23" s="2">
        <v>46250</v>
      </c>
      <c r="C23" s="1" t="s">
        <v>39</v>
      </c>
      <c r="D23" s="1" t="s">
        <v>37</v>
      </c>
      <c r="E23">
        <v>95</v>
      </c>
      <c r="F23" s="1" t="s">
        <v>10</v>
      </c>
      <c r="G23" s="1" t="str">
        <f>_xlfn.XLOOKUP(timesheets[[#This Row],[employee_id]],employees[employee_id],employees[employee_name])</f>
        <v>Jannat Sultana</v>
      </c>
      <c r="H23" s="1">
        <f>_xlfn.XLOOKUP(timesheets[[#This Row],[employee_id]],employees[employee_id],employees[hourly_rate])</f>
        <v>7.8125</v>
      </c>
      <c r="I23" s="1">
        <f>timesheets[[#This Row],[hourly_rate]]*timesheets[[#This Row],[hours_worked]]</f>
        <v>742.1875</v>
      </c>
      <c r="J23" s="3">
        <f>timesheets[[#This Row],[work_date]]</f>
        <v>46250</v>
      </c>
    </row>
    <row r="24" spans="1:10" x14ac:dyDescent="0.25">
      <c r="A24" s="1" t="s">
        <v>42</v>
      </c>
      <c r="B24" s="2">
        <v>46279</v>
      </c>
      <c r="C24" s="1" t="s">
        <v>36</v>
      </c>
      <c r="D24" s="1" t="s">
        <v>37</v>
      </c>
      <c r="E24">
        <v>110</v>
      </c>
      <c r="F24" s="1" t="s">
        <v>10</v>
      </c>
      <c r="G24" s="1" t="str">
        <f>_xlfn.XLOOKUP(timesheets[[#This Row],[employee_id]],employees[employee_id],employees[employee_name])</f>
        <v>Mehedi Chowdhury</v>
      </c>
      <c r="H24" s="1">
        <f>_xlfn.XLOOKUP(timesheets[[#This Row],[employee_id]],employees[employee_id],employees[hourly_rate])</f>
        <v>11.875</v>
      </c>
      <c r="I24" s="1">
        <f>timesheets[[#This Row],[hourly_rate]]*timesheets[[#This Row],[hours_worked]]</f>
        <v>1306.25</v>
      </c>
      <c r="J24" s="3">
        <f>timesheets[[#This Row],[work_date]]</f>
        <v>46279</v>
      </c>
    </row>
    <row r="25" spans="1:10" x14ac:dyDescent="0.25">
      <c r="A25" s="1" t="s">
        <v>43</v>
      </c>
      <c r="B25" s="2">
        <v>46281</v>
      </c>
      <c r="C25" s="1" t="s">
        <v>39</v>
      </c>
      <c r="D25" s="1" t="s">
        <v>37</v>
      </c>
      <c r="E25">
        <v>100</v>
      </c>
      <c r="F25" s="1" t="s">
        <v>10</v>
      </c>
      <c r="G25" s="1" t="str">
        <f>_xlfn.XLOOKUP(timesheets[[#This Row],[employee_id]],employees[employee_id],employees[employee_name])</f>
        <v>Jannat Sultana</v>
      </c>
      <c r="H25" s="1">
        <f>_xlfn.XLOOKUP(timesheets[[#This Row],[employee_id]],employees[employee_id],employees[hourly_rate])</f>
        <v>7.8125</v>
      </c>
      <c r="I25" s="1">
        <f>timesheets[[#This Row],[hourly_rate]]*timesheets[[#This Row],[hours_worked]]</f>
        <v>781.25</v>
      </c>
      <c r="J25" s="3">
        <f>timesheets[[#This Row],[work_date]]</f>
        <v>46281</v>
      </c>
    </row>
    <row r="26" spans="1:10" x14ac:dyDescent="0.25">
      <c r="A26" s="1" t="s">
        <v>44</v>
      </c>
      <c r="B26" s="2">
        <v>46223</v>
      </c>
      <c r="C26" s="1" t="s">
        <v>8</v>
      </c>
      <c r="D26" s="1" t="s">
        <v>45</v>
      </c>
      <c r="E26">
        <v>80</v>
      </c>
      <c r="F26" s="1" t="s">
        <v>10</v>
      </c>
      <c r="G26" s="1" t="str">
        <f>_xlfn.XLOOKUP(timesheets[[#This Row],[employee_id]],employees[employee_id],employees[employee_name])</f>
        <v>Amina Rahman</v>
      </c>
      <c r="H26" s="1">
        <f>_xlfn.XLOOKUP(timesheets[[#This Row],[employee_id]],employees[employee_id],employees[hourly_rate])</f>
        <v>11.25</v>
      </c>
      <c r="I26" s="1">
        <f>timesheets[[#This Row],[hourly_rate]]*timesheets[[#This Row],[hours_worked]]</f>
        <v>900</v>
      </c>
      <c r="J26" s="3">
        <f>timesheets[[#This Row],[work_date]]</f>
        <v>46223</v>
      </c>
    </row>
    <row r="27" spans="1:10" x14ac:dyDescent="0.25">
      <c r="A27" s="1" t="s">
        <v>46</v>
      </c>
      <c r="B27" s="2">
        <v>46225</v>
      </c>
      <c r="C27" s="1" t="s">
        <v>12</v>
      </c>
      <c r="D27" s="1" t="s">
        <v>45</v>
      </c>
      <c r="E27">
        <v>90</v>
      </c>
      <c r="F27" s="1" t="s">
        <v>10</v>
      </c>
      <c r="G27" s="1" t="str">
        <f>_xlfn.XLOOKUP(timesheets[[#This Row],[employee_id]],employees[employee_id],employees[employee_name])</f>
        <v>Tanvir Hasan</v>
      </c>
      <c r="H27" s="1">
        <f>_xlfn.XLOOKUP(timesheets[[#This Row],[employee_id]],employees[employee_id],employees[hourly_rate])</f>
        <v>9.375</v>
      </c>
      <c r="I27" s="1">
        <f>timesheets[[#This Row],[hourly_rate]]*timesheets[[#This Row],[hours_worked]]</f>
        <v>843.75</v>
      </c>
      <c r="J27" s="3">
        <f>timesheets[[#This Row],[work_date]]</f>
        <v>46225</v>
      </c>
    </row>
    <row r="28" spans="1:10" x14ac:dyDescent="0.25">
      <c r="A28" s="1" t="s">
        <v>47</v>
      </c>
      <c r="B28" s="2">
        <v>46252</v>
      </c>
      <c r="C28" s="1" t="s">
        <v>8</v>
      </c>
      <c r="D28" s="1" t="s">
        <v>45</v>
      </c>
      <c r="E28">
        <v>85</v>
      </c>
      <c r="F28" s="1" t="s">
        <v>10</v>
      </c>
      <c r="G28" s="1" t="str">
        <f>_xlfn.XLOOKUP(timesheets[[#This Row],[employee_id]],employees[employee_id],employees[employee_name])</f>
        <v>Amina Rahman</v>
      </c>
      <c r="H28" s="1">
        <f>_xlfn.XLOOKUP(timesheets[[#This Row],[employee_id]],employees[employee_id],employees[hourly_rate])</f>
        <v>11.25</v>
      </c>
      <c r="I28" s="1">
        <f>timesheets[[#This Row],[hourly_rate]]*timesheets[[#This Row],[hours_worked]]</f>
        <v>956.25</v>
      </c>
      <c r="J28" s="3">
        <f>timesheets[[#This Row],[work_date]]</f>
        <v>46252</v>
      </c>
    </row>
    <row r="29" spans="1:10" x14ac:dyDescent="0.25">
      <c r="A29" s="1" t="s">
        <v>48</v>
      </c>
      <c r="B29" s="2">
        <v>46254</v>
      </c>
      <c r="C29" s="1" t="s">
        <v>12</v>
      </c>
      <c r="D29" s="1" t="s">
        <v>45</v>
      </c>
      <c r="E29">
        <v>95</v>
      </c>
      <c r="F29" s="1" t="s">
        <v>10</v>
      </c>
      <c r="G29" s="1" t="str">
        <f>_xlfn.XLOOKUP(timesheets[[#This Row],[employee_id]],employees[employee_id],employees[employee_name])</f>
        <v>Tanvir Hasan</v>
      </c>
      <c r="H29" s="1">
        <f>_xlfn.XLOOKUP(timesheets[[#This Row],[employee_id]],employees[employee_id],employees[hourly_rate])</f>
        <v>9.375</v>
      </c>
      <c r="I29" s="1">
        <f>timesheets[[#This Row],[hourly_rate]]*timesheets[[#This Row],[hours_worked]]</f>
        <v>890.625</v>
      </c>
      <c r="J29" s="3">
        <f>timesheets[[#This Row],[work_date]]</f>
        <v>46254</v>
      </c>
    </row>
    <row r="30" spans="1:10" x14ac:dyDescent="0.25">
      <c r="A30" s="1" t="s">
        <v>49</v>
      </c>
      <c r="B30" s="2">
        <v>46283</v>
      </c>
      <c r="C30" s="1" t="s">
        <v>8</v>
      </c>
      <c r="D30" s="1" t="s">
        <v>45</v>
      </c>
      <c r="E30">
        <v>90</v>
      </c>
      <c r="F30" s="1" t="s">
        <v>10</v>
      </c>
      <c r="G30" s="1" t="str">
        <f>_xlfn.XLOOKUP(timesheets[[#This Row],[employee_id]],employees[employee_id],employees[employee_name])</f>
        <v>Amina Rahman</v>
      </c>
      <c r="H30" s="1">
        <f>_xlfn.XLOOKUP(timesheets[[#This Row],[employee_id]],employees[employee_id],employees[hourly_rate])</f>
        <v>11.25</v>
      </c>
      <c r="I30" s="1">
        <f>timesheets[[#This Row],[hourly_rate]]*timesheets[[#This Row],[hours_worked]]</f>
        <v>1012.5</v>
      </c>
      <c r="J30" s="3">
        <f>timesheets[[#This Row],[work_date]]</f>
        <v>46283</v>
      </c>
    </row>
    <row r="31" spans="1:10" x14ac:dyDescent="0.25">
      <c r="A31" s="1" t="s">
        <v>50</v>
      </c>
      <c r="B31" s="2">
        <v>46285</v>
      </c>
      <c r="C31" s="1" t="s">
        <v>12</v>
      </c>
      <c r="D31" s="1" t="s">
        <v>45</v>
      </c>
      <c r="E31">
        <v>100</v>
      </c>
      <c r="F31" s="1" t="s">
        <v>10</v>
      </c>
      <c r="G31" s="1" t="str">
        <f>_xlfn.XLOOKUP(timesheets[[#This Row],[employee_id]],employees[employee_id],employees[employee_name])</f>
        <v>Tanvir Hasan</v>
      </c>
      <c r="H31" s="1">
        <f>_xlfn.XLOOKUP(timesheets[[#This Row],[employee_id]],employees[employee_id],employees[hourly_rate])</f>
        <v>9.375</v>
      </c>
      <c r="I31" s="1">
        <f>timesheets[[#This Row],[hourly_rate]]*timesheets[[#This Row],[hours_worked]]</f>
        <v>937.5</v>
      </c>
      <c r="J31" s="3">
        <f>timesheets[[#This Row],[work_date]]</f>
        <v>46285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5995-2F21-417B-9C26-6DA7E9A2C138}">
  <dimension ref="A1:K9"/>
  <sheetViews>
    <sheetView topLeftCell="A16" workbookViewId="0">
      <selection activeCell="H21" sqref="H21"/>
    </sheetView>
  </sheetViews>
  <sheetFormatPr defaultRowHeight="15" x14ac:dyDescent="0.25"/>
  <cols>
    <col min="1" max="1" width="10" bestFit="1" customWidth="1"/>
    <col min="2" max="2" width="13.42578125" bestFit="1" customWidth="1"/>
    <col min="3" max="3" width="18.7109375" style="5" bestFit="1" customWidth="1"/>
    <col min="4" max="4" width="9.28515625" style="6" bestFit="1" customWidth="1"/>
    <col min="5" max="7" width="10.7109375" style="5" bestFit="1" customWidth="1"/>
    <col min="8" max="8" width="14.140625" style="5" customWidth="1"/>
    <col min="9" max="9" width="10" bestFit="1" customWidth="1"/>
    <col min="10" max="10" width="14.28515625" style="5" bestFit="1" customWidth="1"/>
    <col min="11" max="11" width="12" bestFit="1" customWidth="1"/>
  </cols>
  <sheetData>
    <row r="1" spans="1:11" s="11" customFormat="1" x14ac:dyDescent="0.25">
      <c r="A1" s="11" t="s">
        <v>110</v>
      </c>
      <c r="B1" s="12" t="s">
        <v>67</v>
      </c>
      <c r="C1" s="13" t="s">
        <v>114</v>
      </c>
      <c r="D1" s="14" t="s">
        <v>105</v>
      </c>
      <c r="E1" s="13" t="s">
        <v>103</v>
      </c>
      <c r="F1" s="13" t="s">
        <v>106</v>
      </c>
      <c r="G1" s="13" t="s">
        <v>107</v>
      </c>
      <c r="H1" s="13" t="s">
        <v>108</v>
      </c>
      <c r="I1" s="11" t="s">
        <v>109</v>
      </c>
      <c r="J1" s="13" t="s">
        <v>112</v>
      </c>
      <c r="K1" s="13" t="s">
        <v>113</v>
      </c>
    </row>
    <row r="2" spans="1:11" x14ac:dyDescent="0.25">
      <c r="A2" t="s">
        <v>9</v>
      </c>
      <c r="B2" t="str">
        <f>_xlfn.XLOOKUP(A2,projects[project_id],projects[project_name])</f>
        <v>Briclab</v>
      </c>
      <c r="C2" s="5">
        <f>_xlfn.XLOOKUP('Project P&amp;L'!A2,projects[project_id],projects[monthly_revenue_usd])*3</f>
        <v>36000</v>
      </c>
      <c r="D2" s="6">
        <f>SUMIFS(timesheets[hours_worked],timesheets[project_id],'Project P&amp;L'!A2)</f>
        <v>690</v>
      </c>
      <c r="E2" s="5">
        <f>SUMIFS(timesheets[labor_cost],timesheets[project_id],'Project P&amp;L'!A2)</f>
        <v>7171.875</v>
      </c>
      <c r="F2" s="5">
        <f>SUMIFS(expenses[amount_usd],expenses[project_id],'Project P&amp;L'!A2)</f>
        <v>1340</v>
      </c>
      <c r="G2" s="5">
        <f>E2+F2</f>
        <v>8511.875</v>
      </c>
      <c r="H2" s="5">
        <f>C2-G2</f>
        <v>27488.125</v>
      </c>
      <c r="I2" s="4">
        <f>H2/C2</f>
        <v>0.76355902777777773</v>
      </c>
      <c r="J2" s="5">
        <f>H2/D2</f>
        <v>39.837862318840578</v>
      </c>
      <c r="K2" s="4">
        <f>J2/SUM($J$2:$J$6)</f>
        <v>0.23816988253036248</v>
      </c>
    </row>
    <row r="3" spans="1:11" x14ac:dyDescent="0.25">
      <c r="A3" t="s">
        <v>19</v>
      </c>
      <c r="B3" t="str">
        <f>_xlfn.XLOOKUP(A3,projects[project_id],projects[project_name])</f>
        <v>FinTrack</v>
      </c>
      <c r="C3" s="5">
        <f>_xlfn.XLOOKUP('Project P&amp;L'!A3,projects[project_id],projects[monthly_revenue_usd])*3</f>
        <v>28500</v>
      </c>
      <c r="D3" s="6">
        <f>SUMIFS(timesheets[hours_worked],timesheets[project_id],'Project P&amp;L'!A3)</f>
        <v>630</v>
      </c>
      <c r="E3" s="5">
        <f>SUMIFS(timesheets[labor_cost],timesheets[project_id],'Project P&amp;L'!A3)</f>
        <v>5765.625</v>
      </c>
      <c r="F3" s="5">
        <f>SUMIFS(expenses[amount_usd],expenses[project_id],'Project P&amp;L'!A3)</f>
        <v>810</v>
      </c>
      <c r="G3" s="5">
        <f t="shared" ref="G3:G6" si="0">E3+F3</f>
        <v>6575.625</v>
      </c>
      <c r="H3" s="5">
        <f t="shared" ref="H3:H6" si="1">C3-G3</f>
        <v>21924.375</v>
      </c>
      <c r="I3" s="4">
        <f t="shared" ref="I3:I6" si="2">H3/C3</f>
        <v>0.76927631578947364</v>
      </c>
      <c r="J3" s="5">
        <f t="shared" ref="J3:J6" si="3">H3/D3</f>
        <v>34.800595238095241</v>
      </c>
      <c r="K3" s="4">
        <f t="shared" ref="K3:K6" si="4">J3/SUM($J$2:$J$6)</f>
        <v>0.208054679578627</v>
      </c>
    </row>
    <row r="4" spans="1:11" x14ac:dyDescent="0.25">
      <c r="A4" t="s">
        <v>28</v>
      </c>
      <c r="B4" t="str">
        <f>_xlfn.XLOOKUP(A4,projects[project_id],projects[project_name])</f>
        <v>ShopEase</v>
      </c>
      <c r="C4" s="5">
        <f>_xlfn.XLOOKUP('Project P&amp;L'!A4,projects[project_id],projects[monthly_revenue_usd])*3</f>
        <v>24000</v>
      </c>
      <c r="D4" s="6">
        <f>SUMIFS(timesheets[hours_worked],timesheets[project_id],'Project P&amp;L'!A4)</f>
        <v>720</v>
      </c>
      <c r="E4" s="5">
        <f>SUMIFS(timesheets[labor_cost],timesheets[project_id],'Project P&amp;L'!A4)</f>
        <v>6665.625</v>
      </c>
      <c r="F4" s="5">
        <f>SUMIFS(expenses[amount_usd],expenses[project_id],'Project P&amp;L'!A4)</f>
        <v>990</v>
      </c>
      <c r="G4" s="5">
        <f t="shared" si="0"/>
        <v>7655.625</v>
      </c>
      <c r="H4" s="5">
        <f t="shared" si="1"/>
        <v>16344.375</v>
      </c>
      <c r="I4" s="4">
        <f t="shared" si="2"/>
        <v>0.68101562500000001</v>
      </c>
      <c r="J4" s="5">
        <f t="shared" si="3"/>
        <v>22.700520833333332</v>
      </c>
      <c r="K4" s="4">
        <f t="shared" si="4"/>
        <v>0.13571462085444538</v>
      </c>
    </row>
    <row r="5" spans="1:11" x14ac:dyDescent="0.25">
      <c r="A5" t="s">
        <v>37</v>
      </c>
      <c r="B5" t="str">
        <f>_xlfn.XLOOKUP(A5,projects[project_id],projects[project_name])</f>
        <v>MediCore</v>
      </c>
      <c r="C5" s="5">
        <f>_xlfn.XLOOKUP('Project P&amp;L'!A5,projects[project_id],projects[monthly_revenue_usd])*3</f>
        <v>33000</v>
      </c>
      <c r="D5" s="6">
        <f>SUMIFS(timesheets[hours_worked],timesheets[project_id],'Project P&amp;L'!A5)</f>
        <v>600</v>
      </c>
      <c r="E5" s="5">
        <f>SUMIFS(timesheets[labor_cost],timesheets[project_id],'Project P&amp;L'!A5)</f>
        <v>5967.1875</v>
      </c>
      <c r="F5" s="5">
        <f>SUMIFS(expenses[amount_usd],expenses[project_id],'Project P&amp;L'!A5)</f>
        <v>1520</v>
      </c>
      <c r="G5" s="5">
        <f t="shared" si="0"/>
        <v>7487.1875</v>
      </c>
      <c r="H5" s="5">
        <f t="shared" si="1"/>
        <v>25512.8125</v>
      </c>
      <c r="I5" s="4">
        <f t="shared" si="2"/>
        <v>0.77311553030303026</v>
      </c>
      <c r="J5" s="5">
        <f t="shared" si="3"/>
        <v>42.521354166666669</v>
      </c>
      <c r="K5" s="4">
        <f t="shared" si="4"/>
        <v>0.25421308618051569</v>
      </c>
    </row>
    <row r="6" spans="1:11" x14ac:dyDescent="0.25">
      <c r="A6" t="s">
        <v>45</v>
      </c>
      <c r="B6" t="str">
        <f>_xlfn.XLOOKUP(A6,projects[project_id],projects[project_name])</f>
        <v>LearnLoop</v>
      </c>
      <c r="C6" s="5">
        <f>_xlfn.XLOOKUP('Project P&amp;L'!A6,projects[project_id],projects[monthly_revenue_usd])*3</f>
        <v>21000</v>
      </c>
      <c r="D6" s="6">
        <f>SUMIFS(timesheets[hours_worked],timesheets[project_id],'Project P&amp;L'!A6)</f>
        <v>540</v>
      </c>
      <c r="E6" s="5">
        <f>SUMIFS(timesheets[labor_cost],timesheets[project_id],'Project P&amp;L'!A6)</f>
        <v>5540.625</v>
      </c>
      <c r="F6" s="5">
        <f>SUMIFS(expenses[amount_usd],expenses[project_id],'Project P&amp;L'!A6)</f>
        <v>660</v>
      </c>
      <c r="G6" s="5">
        <f t="shared" si="0"/>
        <v>6200.625</v>
      </c>
      <c r="H6" s="5">
        <f t="shared" si="1"/>
        <v>14799.375</v>
      </c>
      <c r="I6" s="4">
        <f t="shared" si="2"/>
        <v>0.70473214285714281</v>
      </c>
      <c r="J6" s="5">
        <f t="shared" si="3"/>
        <v>27.40625</v>
      </c>
      <c r="K6" s="4">
        <f t="shared" si="4"/>
        <v>0.16384773085604948</v>
      </c>
    </row>
    <row r="8" spans="1:11" s="15" customFormat="1" ht="15.75" thickBot="1" x14ac:dyDescent="0.3">
      <c r="B8" s="15" t="s">
        <v>111</v>
      </c>
      <c r="C8" s="16">
        <f>SUM(C2:C7)</f>
        <v>142500</v>
      </c>
      <c r="D8" s="17">
        <f t="shared" ref="D8:H8" si="5">SUM(D2:D7)</f>
        <v>3180</v>
      </c>
      <c r="E8" s="16">
        <f t="shared" si="5"/>
        <v>31110.9375</v>
      </c>
      <c r="F8" s="16">
        <f t="shared" si="5"/>
        <v>5320</v>
      </c>
      <c r="G8" s="16">
        <f t="shared" si="5"/>
        <v>36430.9375</v>
      </c>
      <c r="H8" s="16">
        <f t="shared" si="5"/>
        <v>106069.0625</v>
      </c>
      <c r="I8" s="18"/>
      <c r="J8" s="16"/>
    </row>
    <row r="9" spans="1:11" ht="15.75" thickTop="1" x14ac:dyDescent="0.25"/>
  </sheetData>
  <phoneticPr fontId="3" type="noConversion"/>
  <conditionalFormatting sqref="H2:H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{89AC2937-9FDE-4935-926B-A749F00F19D8}</x14:id>
        </ext>
      </extLst>
    </cfRule>
  </conditionalFormatting>
  <conditionalFormatting sqref="J2:J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{17E76BB9-01A0-4147-AE52-0417B45F37C7}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AC2937-9FDE-4935-926B-A749F00F19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H2:H6</xm:sqref>
        </x14:conditionalFormatting>
        <x14:conditionalFormatting xmlns:xm="http://schemas.microsoft.com/office/excel/2006/main">
          <x14:cfRule type="dataBar" id="{17E76BB9-01A0-4147-AE52-0417B45F3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EDA5-D640-45FE-91F7-304D2595E46F}">
  <dimension ref="A3:J14"/>
  <sheetViews>
    <sheetView workbookViewId="0">
      <selection activeCell="R10" sqref="R10"/>
    </sheetView>
  </sheetViews>
  <sheetFormatPr defaultRowHeight="15" x14ac:dyDescent="0.25"/>
  <cols>
    <col min="1" max="1" width="20.5703125" bestFit="1" customWidth="1"/>
    <col min="2" max="2" width="16.28515625" bestFit="1" customWidth="1"/>
    <col min="3" max="3" width="6.42578125" bestFit="1" customWidth="1"/>
    <col min="4" max="4" width="6.140625" bestFit="1" customWidth="1"/>
    <col min="5" max="5" width="11.28515625" bestFit="1" customWidth="1"/>
    <col min="6" max="7" width="6.140625" bestFit="1" customWidth="1"/>
    <col min="8" max="8" width="18.7109375" bestFit="1" customWidth="1"/>
    <col min="9" max="9" width="11" bestFit="1" customWidth="1"/>
    <col min="10" max="10" width="10.28515625" bestFit="1" customWidth="1"/>
    <col min="11" max="11" width="6.140625" bestFit="1" customWidth="1"/>
    <col min="12" max="12" width="8.28515625" bestFit="1" customWidth="1"/>
    <col min="13" max="13" width="6.42578125" bestFit="1" customWidth="1"/>
    <col min="14" max="16" width="6.140625" bestFit="1" customWidth="1"/>
    <col min="17" max="22" width="7.140625" bestFit="1" customWidth="1"/>
    <col min="23" max="23" width="9.28515625" bestFit="1" customWidth="1"/>
    <col min="24" max="24" width="6.140625" bestFit="1" customWidth="1"/>
    <col min="25" max="27" width="6" bestFit="1" customWidth="1"/>
    <col min="28" max="33" width="7" bestFit="1" customWidth="1"/>
    <col min="35" max="35" width="11.28515625" bestFit="1" customWidth="1"/>
  </cols>
  <sheetData>
    <row r="3" spans="1:10" x14ac:dyDescent="0.25">
      <c r="A3" s="7" t="s">
        <v>121</v>
      </c>
      <c r="B3" s="7" t="s">
        <v>117</v>
      </c>
    </row>
    <row r="4" spans="1:10" x14ac:dyDescent="0.25">
      <c r="B4" t="s">
        <v>118</v>
      </c>
      <c r="C4" t="s">
        <v>119</v>
      </c>
      <c r="D4" t="s">
        <v>120</v>
      </c>
      <c r="E4" t="s">
        <v>116</v>
      </c>
    </row>
    <row r="5" spans="1:10" x14ac:dyDescent="0.25">
      <c r="A5" s="7" t="s">
        <v>115</v>
      </c>
      <c r="H5" s="9" t="s">
        <v>122</v>
      </c>
      <c r="I5" s="9" t="s">
        <v>123</v>
      </c>
      <c r="J5" s="9" t="s">
        <v>124</v>
      </c>
    </row>
    <row r="6" spans="1:10" x14ac:dyDescent="0.25">
      <c r="A6" s="8" t="s">
        <v>8</v>
      </c>
      <c r="B6" s="1">
        <v>200</v>
      </c>
      <c r="C6" s="1">
        <v>210</v>
      </c>
      <c r="D6" s="1">
        <v>220</v>
      </c>
      <c r="E6" s="1">
        <v>630</v>
      </c>
      <c r="H6" t="str">
        <f>_xlfn.XLOOKUP(A6,employees[employee_id],employees[employee_name])</f>
        <v>Amina Rahman</v>
      </c>
      <c r="I6">
        <f>SUMIFS(timesheets[hours_worked],timesheets[employee_id],'Utilization Employee'!A6)</f>
        <v>630</v>
      </c>
      <c r="J6" s="4">
        <f>I6/480</f>
        <v>1.3125</v>
      </c>
    </row>
    <row r="7" spans="1:10" x14ac:dyDescent="0.25">
      <c r="A7" s="8" t="s">
        <v>12</v>
      </c>
      <c r="B7" s="1">
        <v>190</v>
      </c>
      <c r="C7" s="1">
        <v>200</v>
      </c>
      <c r="D7" s="1">
        <v>210</v>
      </c>
      <c r="E7" s="1">
        <v>600</v>
      </c>
      <c r="H7" t="str">
        <f>_xlfn.XLOOKUP(A7,employees[employee_id],employees[employee_name])</f>
        <v>Tanvir Hasan</v>
      </c>
      <c r="I7">
        <f>SUMIFS(timesheets[hours_worked],timesheets[employee_id],'Utilization Employee'!A7)</f>
        <v>600</v>
      </c>
      <c r="J7" s="4">
        <f t="shared" ref="J7:J13" si="0">I7/480</f>
        <v>1.25</v>
      </c>
    </row>
    <row r="8" spans="1:10" x14ac:dyDescent="0.25">
      <c r="A8" s="8" t="s">
        <v>18</v>
      </c>
      <c r="B8" s="1">
        <v>90</v>
      </c>
      <c r="C8" s="1">
        <v>95</v>
      </c>
      <c r="D8" s="1">
        <v>100</v>
      </c>
      <c r="E8" s="1">
        <v>285</v>
      </c>
      <c r="H8" t="str">
        <f>_xlfn.XLOOKUP(A8,employees[employee_id],employees[employee_name])</f>
        <v>Nadia Islam</v>
      </c>
      <c r="I8">
        <f>SUMIFS(timesheets[hours_worked],timesheets[employee_id],'Utilization Employee'!A8)</f>
        <v>285</v>
      </c>
      <c r="J8" s="4">
        <f t="shared" si="0"/>
        <v>0.59375</v>
      </c>
    </row>
    <row r="9" spans="1:10" x14ac:dyDescent="0.25">
      <c r="A9" s="8" t="s">
        <v>21</v>
      </c>
      <c r="B9" s="1">
        <v>110</v>
      </c>
      <c r="C9" s="1">
        <v>115</v>
      </c>
      <c r="D9" s="1">
        <v>120</v>
      </c>
      <c r="E9" s="1">
        <v>345</v>
      </c>
      <c r="H9" t="str">
        <f>_xlfn.XLOOKUP(A9,employees[employee_id],employees[employee_name])</f>
        <v>Rakib Ahmed</v>
      </c>
      <c r="I9">
        <f>SUMIFS(timesheets[hours_worked],timesheets[employee_id],'Utilization Employee'!A9)</f>
        <v>345</v>
      </c>
      <c r="J9" s="4">
        <f t="shared" si="0"/>
        <v>0.71875</v>
      </c>
    </row>
    <row r="10" spans="1:10" x14ac:dyDescent="0.25">
      <c r="A10" s="8" t="s">
        <v>27</v>
      </c>
      <c r="B10" s="1">
        <v>100</v>
      </c>
      <c r="C10" s="1">
        <v>105</v>
      </c>
      <c r="D10" s="1">
        <v>110</v>
      </c>
      <c r="E10" s="1">
        <v>315</v>
      </c>
      <c r="H10" t="str">
        <f>_xlfn.XLOOKUP(A10,employees[employee_id],employees[employee_name])</f>
        <v>Farhana Akter</v>
      </c>
      <c r="I10">
        <f>SUMIFS(timesheets[hours_worked],timesheets[employee_id],'Utilization Employee'!A10)</f>
        <v>315</v>
      </c>
      <c r="J10" s="4">
        <f t="shared" si="0"/>
        <v>0.65625</v>
      </c>
    </row>
    <row r="11" spans="1:10" x14ac:dyDescent="0.25">
      <c r="A11" s="8" t="s">
        <v>30</v>
      </c>
      <c r="B11" s="1">
        <v>130</v>
      </c>
      <c r="C11" s="1">
        <v>135</v>
      </c>
      <c r="D11" s="1">
        <v>140</v>
      </c>
      <c r="E11" s="1">
        <v>405</v>
      </c>
      <c r="H11" t="str">
        <f>_xlfn.XLOOKUP(A11,employees[employee_id],employees[employee_name])</f>
        <v>Sajid Karim</v>
      </c>
      <c r="I11">
        <f>SUMIFS(timesheets[hours_worked],timesheets[employee_id],'Utilization Employee'!A11)</f>
        <v>405</v>
      </c>
      <c r="J11" s="4">
        <f t="shared" si="0"/>
        <v>0.84375</v>
      </c>
    </row>
    <row r="12" spans="1:10" x14ac:dyDescent="0.25">
      <c r="A12" s="8" t="s">
        <v>36</v>
      </c>
      <c r="B12" s="1">
        <v>100</v>
      </c>
      <c r="C12" s="1">
        <v>105</v>
      </c>
      <c r="D12" s="1">
        <v>110</v>
      </c>
      <c r="E12" s="1">
        <v>315</v>
      </c>
      <c r="H12" t="str">
        <f>_xlfn.XLOOKUP(A12,employees[employee_id],employees[employee_name])</f>
        <v>Mehedi Chowdhury</v>
      </c>
      <c r="I12">
        <f>SUMIFS(timesheets[hours_worked],timesheets[employee_id],'Utilization Employee'!A12)</f>
        <v>315</v>
      </c>
      <c r="J12" s="4">
        <f t="shared" si="0"/>
        <v>0.65625</v>
      </c>
    </row>
    <row r="13" spans="1:10" x14ac:dyDescent="0.25">
      <c r="A13" s="8" t="s">
        <v>39</v>
      </c>
      <c r="B13" s="1">
        <v>90</v>
      </c>
      <c r="C13" s="1">
        <v>95</v>
      </c>
      <c r="D13" s="1">
        <v>100</v>
      </c>
      <c r="E13" s="1">
        <v>285</v>
      </c>
      <c r="H13" t="str">
        <f>_xlfn.XLOOKUP(A13,employees[employee_id],employees[employee_name])</f>
        <v>Jannat Sultana</v>
      </c>
      <c r="I13">
        <f>SUMIFS(timesheets[hours_worked],timesheets[employee_id],'Utilization Employee'!A13)</f>
        <v>285</v>
      </c>
      <c r="J13" s="4">
        <f t="shared" si="0"/>
        <v>0.59375</v>
      </c>
    </row>
    <row r="14" spans="1:10" x14ac:dyDescent="0.25">
      <c r="A14" s="8" t="s">
        <v>116</v>
      </c>
      <c r="B14" s="1">
        <v>1010</v>
      </c>
      <c r="C14" s="1">
        <v>1060</v>
      </c>
      <c r="D14" s="1">
        <v>1110</v>
      </c>
      <c r="E14" s="1">
        <v>3180</v>
      </c>
      <c r="I14" s="10">
        <f>SUM(I6:I13)</f>
        <v>3180</v>
      </c>
    </row>
  </sheetData>
  <conditionalFormatting sqref="J1:J1048576">
    <cfRule type="colorScale" priority="1">
      <colorScale>
        <cfvo type="min"/>
        <cfvo type="max"/>
        <color rgb="FFFFFF00"/>
        <color rgb="FFFF00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42B8-E536-4DEB-A23D-6BFF463C255B}">
  <dimension ref="A1"/>
  <sheetViews>
    <sheetView tabSelected="1" workbookViewId="0">
      <selection activeCell="H2" sqref="H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2817D-77CC-4450-B2EC-4E76305DDD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projects</vt:lpstr>
      <vt:lpstr>expenses</vt:lpstr>
      <vt:lpstr>timesheets</vt:lpstr>
      <vt:lpstr>Project P&amp;L</vt:lpstr>
      <vt:lpstr>Utilization Employee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shafayat hossain</dc:creator>
  <cp:lastModifiedBy>muhammad shafayat hossain</cp:lastModifiedBy>
  <dcterms:created xsi:type="dcterms:W3CDTF">2015-06-05T18:17:20Z</dcterms:created>
  <dcterms:modified xsi:type="dcterms:W3CDTF">2026-10-22T02:00:43Z</dcterms:modified>
</cp:coreProperties>
</file>